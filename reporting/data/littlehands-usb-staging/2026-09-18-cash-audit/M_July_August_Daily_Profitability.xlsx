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Profitability" sheetId="1" state="visible" r:id="rId3"/>
    <sheet name="Income Source" sheetId="2" state="visible" r:id="rId4"/>
    <sheet name="Expense Sour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<sst xmlns="http://schemas.openxmlformats.org/spreadsheetml/2006/main" count="2649" uniqueCount="705">
  <si>
    <t xml:space="preserve">M - July &amp; August Daily Profitability</t>
  </si>
  <si>
    <t xml:space="preserve">Month List</t>
  </si>
  <si>
    <t xml:space="preserve">Activity List</t>
  </si>
  <si>
    <t xml:space="preserve">Category List</t>
  </si>
  <si>
    <t xml:space="preserve">Expense Type List</t>
  </si>
  <si>
    <t xml:space="preserve">Supplier List</t>
  </si>
  <si>
    <t xml:space="preserve">Revenue Stream List</t>
  </si>
  <si>
    <t xml:space="preserve">All</t>
  </si>
  <si>
    <t xml:space="preserve">Month</t>
  </si>
  <si>
    <t xml:space="preserve">Activity</t>
  </si>
  <si>
    <t xml:space="preserve">Expense Category</t>
  </si>
  <si>
    <t xml:space="preserve">Food &amp; Beverage</t>
  </si>
  <si>
    <t xml:space="preserve">Expense Type</t>
  </si>
  <si>
    <t xml:space="preserve">Supplier</t>
  </si>
  <si>
    <t xml:space="preserve">Revenue Stream</t>
  </si>
  <si>
    <t xml:space="preserve">July 2026</t>
  </si>
  <si>
    <t xml:space="preserve">Birthday</t>
  </si>
  <si>
    <t xml:space="preserve">Cleaning &amp; Waste</t>
  </si>
  <si>
    <t xml:space="preserve">Cleaning &amp; Sanitation</t>
  </si>
  <si>
    <t xml:space="preserve">Agaric</t>
  </si>
  <si>
    <t xml:space="preserve">Walk-in</t>
  </si>
  <si>
    <t xml:space="preserve">Total Income</t>
  </si>
  <si>
    <t xml:space="preserve">Expenses</t>
  </si>
  <si>
    <t xml:space="preserve">Revenue</t>
  </si>
  <si>
    <t xml:space="preserve">Net Benefit</t>
  </si>
  <si>
    <t xml:space="preserve">Net Margin</t>
  </si>
  <si>
    <t xml:space="preserve">August 2026</t>
  </si>
  <si>
    <t xml:space="preserve">Event</t>
  </si>
  <si>
    <t xml:space="preserve">Disposables &amp; Packaging</t>
  </si>
  <si>
    <t xml:space="preserve">Decoration &amp; Workshop Materials</t>
  </si>
  <si>
    <t xml:space="preserve">Asab &amp; Tools For Garden</t>
  </si>
  <si>
    <t xml:space="preserve">Colonie</t>
  </si>
  <si>
    <t xml:space="preserve">General Operations</t>
  </si>
  <si>
    <t xml:space="preserve">Equipment &amp; Tools</t>
  </si>
  <si>
    <t xml:space="preserve">Electricity</t>
  </si>
  <si>
    <t xml:space="preserve">Boucherie Ziad</t>
  </si>
  <si>
    <t xml:space="preserve">Nursery Visit</t>
  </si>
  <si>
    <t xml:space="preserve">Chebl Bou Akl</t>
  </si>
  <si>
    <t xml:space="preserve">Unspecified</t>
  </si>
  <si>
    <t xml:space="preserve">Garden &amp; Grounds</t>
  </si>
  <si>
    <t xml:space="preserve">Garden &amp; Landscaping</t>
  </si>
  <si>
    <t xml:space="preserve">Disposable</t>
  </si>
  <si>
    <t xml:space="preserve">Health &amp; Safety</t>
  </si>
  <si>
    <t xml:space="preserve">Internet</t>
  </si>
  <si>
    <t xml:space="preserve">Divers</t>
  </si>
  <si>
    <t xml:space="preserve">Monthly Summary</t>
  </si>
  <si>
    <t xml:space="preserve">Definitions &amp; Source Note</t>
  </si>
  <si>
    <t xml:space="preserve">Workshop</t>
  </si>
  <si>
    <t xml:space="preserve">Unclassified</t>
  </si>
  <si>
    <t xml:space="preserve">Kitchen Equipment</t>
  </si>
  <si>
    <t xml:space="preserve">EDL</t>
  </si>
  <si>
    <t xml:space="preserve">Month controls the visible dates and selected totals. Revenue Stream filters income and Revenue. Activity, Expense Category, Expense Type and Supplier filter Expenses. The revenue and expense filters are independent. Total Income = Walk-in + Colonie + Birthday for the selected stream. Source Daily Expenses is blank, so Income and Revenue match. Net Benefit = Revenue − master expenses. July 1 has no income-source row and remains marked as missing.</t>
  </si>
  <si>
    <t xml:space="preserve">Utilities &amp; Office</t>
  </si>
  <si>
    <t xml:space="preserve">Maintenance</t>
  </si>
  <si>
    <t xml:space="preserve">Ets Melhem Yamine &amp; Sons</t>
  </si>
  <si>
    <t xml:space="preserve">Workshop &amp; Decoration Supplies</t>
  </si>
  <si>
    <t xml:space="preserve">Other / Office</t>
  </si>
  <si>
    <t xml:space="preserve">Event Megastore</t>
  </si>
  <si>
    <t xml:space="preserve">Packaging &amp; Disposables</t>
  </si>
  <si>
    <t xml:space="preserve">Fadi</t>
  </si>
  <si>
    <t xml:space="preserve">Selected Total</t>
  </si>
  <si>
    <t xml:space="preserve">Waste Removal</t>
  </si>
  <si>
    <t xml:space="preserve">Fairco International</t>
  </si>
  <si>
    <t xml:space="preserve">Water</t>
  </si>
  <si>
    <t xml:space="preserve">Forn Zakhia</t>
  </si>
  <si>
    <t xml:space="preserve">Daily Unified Table</t>
  </si>
  <si>
    <t xml:space="preserve">Fresh &amp; More</t>
  </si>
  <si>
    <t xml:space="preserve">Date</t>
  </si>
  <si>
    <t xml:space="preserve">Walk-in Income</t>
  </si>
  <si>
    <t xml:space="preserve">Colonie Income</t>
  </si>
  <si>
    <t xml:space="preserve">Birthday Income</t>
  </si>
  <si>
    <t xml:space="preserve">Source Status</t>
  </si>
  <si>
    <t xml:space="preserve">Imaco</t>
  </si>
  <si>
    <t xml:space="preserve">Jamil Rezk</t>
  </si>
  <si>
    <t xml:space="preserve">Joe Market</t>
  </si>
  <si>
    <t xml:space="preserve">Karam Bake</t>
  </si>
  <si>
    <t xml:space="preserve">La Valeur Market</t>
  </si>
  <si>
    <t xml:space="preserve">Le Charcutier</t>
  </si>
  <si>
    <t xml:space="preserve">Le Marche Selectif</t>
  </si>
  <si>
    <t xml:space="preserve">Librairie Mallah</t>
  </si>
  <si>
    <t xml:space="preserve">Lteif Market</t>
  </si>
  <si>
    <t xml:space="preserve">Luicci</t>
  </si>
  <si>
    <t xml:space="preserve">Panino Bakery</t>
  </si>
  <si>
    <t xml:space="preserve">Polavera</t>
  </si>
  <si>
    <t xml:space="preserve">Ramel Mgharbal, Trabeh</t>
  </si>
  <si>
    <t xml:space="preserve">Rim Water</t>
  </si>
  <si>
    <t xml:space="preserve">Spinneys</t>
  </si>
  <si>
    <t xml:space="preserve">St Joseph Pharmacy</t>
  </si>
  <si>
    <t xml:space="preserve">Storium</t>
  </si>
  <si>
    <t xml:space="preserve">Sunrise Market</t>
  </si>
  <si>
    <t xml:space="preserve">Toni Nehme</t>
  </si>
  <si>
    <t xml:space="preserve">Toni Tohme Station</t>
  </si>
  <si>
    <t xml:space="preserve">Youssef Malek</t>
  </si>
  <si>
    <t xml:space="preserve">M - July &amp; August Income Source</t>
  </si>
  <si>
    <t xml:space="preserve">Source Sheet</t>
  </si>
  <si>
    <t xml:space="preserve">Source Daily Expenses</t>
  </si>
  <si>
    <t xml:space="preserve">Source Revenue</t>
  </si>
  <si>
    <t xml:space="preserve">Source Check</t>
  </si>
  <si>
    <t xml:space="preserve">July</t>
  </si>
  <si>
    <t xml:space="preserve">August</t>
  </si>
  <si>
    <t xml:space="preserve">Source Totals</t>
  </si>
  <si>
    <t xml:space="preserve">M - Corrected Expense Source</t>
  </si>
  <si>
    <t xml:space="preserve">Expense ID</t>
  </si>
  <si>
    <t xml:space="preserve">Source Bill Key</t>
  </si>
  <si>
    <t xml:space="preserve">Source Invoice No.</t>
  </si>
  <si>
    <t xml:space="preserve">Activity Tags</t>
  </si>
  <si>
    <t xml:space="preserve">Activity Detail</t>
  </si>
  <si>
    <t xml:space="preserve">Source Category</t>
  </si>
  <si>
    <t xml:space="preserve">Description</t>
  </si>
  <si>
    <t xml:space="preserve">Amount USD</t>
  </si>
  <si>
    <t xml:space="preserve">Amount LBP</t>
  </si>
  <si>
    <t xml:space="preserve">Effective FX</t>
  </si>
  <si>
    <t xml:space="preserve">Source Rows</t>
  </si>
  <si>
    <t xml:space="preserve">Review Flag</t>
  </si>
  <si>
    <t xml:space="preserve">Selected Flag</t>
  </si>
  <si>
    <t xml:space="preserve">Selected Bill Flag</t>
  </si>
  <si>
    <t xml:space="preserve">Profitability Flag</t>
  </si>
  <si>
    <t xml:space="preserve">20260630-001</t>
  </si>
  <si>
    <t xml:space="preserve">0</t>
  </si>
  <si>
    <t xml:space="preserve">June 2026</t>
  </si>
  <si>
    <t xml:space="preserve">Oui Oui Nursery Workshops</t>
  </si>
  <si>
    <t xml:space="preserve">Librairie</t>
  </si>
  <si>
    <t xml:space="preserve">30- June</t>
  </si>
  <si>
    <t xml:space="preserve">4-7</t>
  </si>
  <si>
    <t xml:space="preserve">Outside July period</t>
  </si>
  <si>
    <t xml:space="preserve">20260630-002</t>
  </si>
  <si>
    <t xml:space="preserve">Unrecorded</t>
  </si>
  <si>
    <t xml:space="preserve">Office Expenses</t>
  </si>
  <si>
    <t xml:space="preserve">Moteur June</t>
  </si>
  <si>
    <t xml:space="preserve">10</t>
  </si>
  <si>
    <t xml:space="preserve">Supplier not recorded; outside July period</t>
  </si>
  <si>
    <t xml:space="preserve">20260704-001</t>
  </si>
  <si>
    <t xml:space="preserve">Birthday &amp; Burger Workshops Barbecue</t>
  </si>
  <si>
    <t xml:space="preserve">Garbage</t>
  </si>
  <si>
    <t xml:space="preserve">Description not recorded</t>
  </si>
  <si>
    <t xml:space="preserve">4- July</t>
  </si>
  <si>
    <t xml:space="preserve">4</t>
  </si>
  <si>
    <t xml:space="preserve">OK</t>
  </si>
  <si>
    <t xml:space="preserve">20260704-002</t>
  </si>
  <si>
    <t xml:space="preserve">Kitchen</t>
  </si>
  <si>
    <t xml:space="preserve">Manakich</t>
  </si>
  <si>
    <t xml:space="preserve">6</t>
  </si>
  <si>
    <t xml:space="preserve">20260704-003</t>
  </si>
  <si>
    <t xml:space="preserve">F&amp;V, Ice,Mozarella,Sugar</t>
  </si>
  <si>
    <t xml:space="preserve">7</t>
  </si>
  <si>
    <t xml:space="preserve">20260704-004</t>
  </si>
  <si>
    <t xml:space="preserve">Water Citern</t>
  </si>
  <si>
    <t xml:space="preserve">9</t>
  </si>
  <si>
    <t xml:space="preserve">20260704-005</t>
  </si>
  <si>
    <t xml:space="preserve">20260704-006</t>
  </si>
  <si>
    <t xml:space="preserve">Workshops</t>
  </si>
  <si>
    <t xml:space="preserve">12</t>
  </si>
  <si>
    <t xml:space="preserve">20260704-007</t>
  </si>
  <si>
    <t xml:space="preserve">13</t>
  </si>
  <si>
    <t xml:space="preserve">20260705-001</t>
  </si>
  <si>
    <t xml:space="preserve">Fruits &amp; Vegetables; Fahem Colomby; Water Rim Box of 2 litre</t>
  </si>
  <si>
    <t xml:space="preserve">5-July</t>
  </si>
  <si>
    <t xml:space="preserve">3-5</t>
  </si>
  <si>
    <t xml:space="preserve">20260705-002</t>
  </si>
  <si>
    <t xml:space="preserve">Balkis</t>
  </si>
  <si>
    <t xml:space="preserve">20260705-003</t>
  </si>
  <si>
    <t xml:space="preserve">Ice, F&amp;v Vinigar, Olive Black, cheese,Chicken Breast, Fa7em Mozarella</t>
  </si>
  <si>
    <t xml:space="preserve">20260705-004</t>
  </si>
  <si>
    <t xml:space="preserve">Brasilian Beef &amp; Prunell; Beer,Milk, Wipes, Cacao</t>
  </si>
  <si>
    <t xml:space="preserve">8-9</t>
  </si>
  <si>
    <t xml:space="preserve">20260705-005</t>
  </si>
  <si>
    <t xml:space="preserve">20260708-001</t>
  </si>
  <si>
    <t xml:space="preserve">Industrial Walls</t>
  </si>
  <si>
    <t xml:space="preserve">8-July</t>
  </si>
  <si>
    <t xml:space="preserve">3</t>
  </si>
  <si>
    <t xml:space="preserve">20260708-002</t>
  </si>
  <si>
    <t xml:space="preserve">5</t>
  </si>
  <si>
    <t xml:space="preserve">20260708-003</t>
  </si>
  <si>
    <t xml:space="preserve">Sparkling Water, Batton Salle, Balkis, Oil, Mimosa, Trash Bags</t>
  </si>
  <si>
    <t xml:space="preserve">Supplier not recorded</t>
  </si>
  <si>
    <t xml:space="preserve">20260710-001</t>
  </si>
  <si>
    <t xml:space="preserve">No activity label recorded</t>
  </si>
  <si>
    <t xml:space="preserve">Pharmacy</t>
  </si>
  <si>
    <t xml:space="preserve">Alchool</t>
  </si>
  <si>
    <t xml:space="preserve">10- July</t>
  </si>
  <si>
    <t xml:space="preserve">20260710-002</t>
  </si>
  <si>
    <t xml:space="preserve">Burger, Mafroume Kebbe</t>
  </si>
  <si>
    <t xml:space="preserve">20260710-003</t>
  </si>
  <si>
    <t xml:space="preserve">20260710-004</t>
  </si>
  <si>
    <t xml:space="preserve">Description not recorded; F&amp;V, water, Mozarella, Corn , vinigar, Beirut beer</t>
  </si>
  <si>
    <t xml:space="preserve">7-8</t>
  </si>
  <si>
    <t xml:space="preserve">20260710-005</t>
  </si>
  <si>
    <t xml:space="preserve">Mouaajanet</t>
  </si>
  <si>
    <t xml:space="preserve">20260710-006</t>
  </si>
  <si>
    <t xml:space="preserve">Print cut &amp; lamination</t>
  </si>
  <si>
    <t xml:space="preserve">20260710-007</t>
  </si>
  <si>
    <t xml:space="preserve">Uniball,Mazonitte Board,Potters</t>
  </si>
  <si>
    <t xml:space="preserve">14</t>
  </si>
  <si>
    <t xml:space="preserve">20260710-008</t>
  </si>
  <si>
    <t xml:space="preserve">22</t>
  </si>
  <si>
    <t xml:space="preserve">Possible duplicate - verify separate invoice</t>
  </si>
  <si>
    <t xml:space="preserve">20260710-009</t>
  </si>
  <si>
    <t xml:space="preserve">23</t>
  </si>
  <si>
    <t xml:space="preserve">20260710-010</t>
  </si>
  <si>
    <t xml:space="preserve">Mini Burgers</t>
  </si>
  <si>
    <t xml:space="preserve">25</t>
  </si>
  <si>
    <t xml:space="preserve">20260710-011</t>
  </si>
  <si>
    <t xml:space="preserve">Disposables</t>
  </si>
  <si>
    <t xml:space="preserve">Wood Baots 150 pcs; Wood Fork; Wood Spoon; Mini Board 100Pcs; Wood Boat; Mini Craft Board; craft Board</t>
  </si>
  <si>
    <t xml:space="preserve">31-37</t>
  </si>
  <si>
    <t xml:space="preserve">20260711-001</t>
  </si>
  <si>
    <t xml:space="preserve">Vegetables; Balkis Fresh Juice</t>
  </si>
  <si>
    <t xml:space="preserve">11-July</t>
  </si>
  <si>
    <t xml:space="preserve">3-4</t>
  </si>
  <si>
    <t xml:space="preserve">20260711-002</t>
  </si>
  <si>
    <t xml:space="preserve">Water Box .5L; Ice Bags 2 kilo</t>
  </si>
  <si>
    <t xml:space="preserve">6-7</t>
  </si>
  <si>
    <t xml:space="preserve">20260711-003</t>
  </si>
  <si>
    <t xml:space="preserve">F&amp;V, Ice</t>
  </si>
  <si>
    <t xml:space="preserve">8</t>
  </si>
  <si>
    <t xml:space="preserve">20260711-004</t>
  </si>
  <si>
    <t xml:space="preserve">Mou3ajanet</t>
  </si>
  <si>
    <t xml:space="preserve">Missing amount in source</t>
  </si>
  <si>
    <t xml:space="preserve">20260711-005</t>
  </si>
  <si>
    <t xml:space="preserve">Burger; Delivery</t>
  </si>
  <si>
    <t xml:space="preserve">10-11</t>
  </si>
  <si>
    <t xml:space="preserve">20260711-006</t>
  </si>
  <si>
    <t xml:space="preserve">Fruits &amp; Vegetables; Daaboul Fine Brown; Klim Milk; Sugar; Bouchee Naturelle; Pasta; Sanita Butter Paper</t>
  </si>
  <si>
    <t xml:space="preserve">13-19</t>
  </si>
  <si>
    <t xml:space="preserve">20260711-007</t>
  </si>
  <si>
    <t xml:space="preserve">Hummous , Laban , Bread</t>
  </si>
  <si>
    <t xml:space="preserve">20</t>
  </si>
  <si>
    <t xml:space="preserve">20260711-008</t>
  </si>
  <si>
    <t xml:space="preserve">Garden</t>
  </si>
  <si>
    <t xml:space="preserve">Tabali</t>
  </si>
  <si>
    <t xml:space="preserve">24</t>
  </si>
  <si>
    <t xml:space="preserve">20260712-001</t>
  </si>
  <si>
    <t xml:space="preserve">Kebbeh</t>
  </si>
  <si>
    <t xml:space="preserve">July-12</t>
  </si>
  <si>
    <t xml:space="preserve">20260712-002</t>
  </si>
  <si>
    <t xml:space="preserve">Basal, Borghoul, Hommos Hab</t>
  </si>
  <si>
    <t xml:space="preserve">20260712-003</t>
  </si>
  <si>
    <t xml:space="preserve">Fresh Juice Balkis</t>
  </si>
  <si>
    <t xml:space="preserve">20260712-004</t>
  </si>
  <si>
    <t xml:space="preserve">FRuit&amp; Vege; Rim Water; Cold Ice; Labneh Khoury; tea; Persil; Bread White; Javel; Laban; Mozarella Wraped</t>
  </si>
  <si>
    <t xml:space="preserve">7-16</t>
  </si>
  <si>
    <t xml:space="preserve">20260712-005</t>
  </si>
  <si>
    <t xml:space="preserve">Cotton Wipes,Balkis Penne,Flowe</t>
  </si>
  <si>
    <t xml:space="preserve">17</t>
  </si>
  <si>
    <t xml:space="preserve">20260712-006</t>
  </si>
  <si>
    <t xml:space="preserve">Papier Crepon</t>
  </si>
  <si>
    <t xml:space="preserve">25-26</t>
  </si>
  <si>
    <t xml:space="preserve">20260712-007</t>
  </si>
  <si>
    <t xml:space="preserve">Wood Board</t>
  </si>
  <si>
    <t xml:space="preserve">30</t>
  </si>
  <si>
    <t xml:space="preserve">20260717-001</t>
  </si>
  <si>
    <t xml:space="preserve">17-July</t>
  </si>
  <si>
    <t xml:space="preserve">20260717-002</t>
  </si>
  <si>
    <t xml:space="preserve">Beirut Beer; Oui Oui Wipes; Rim Sparkling Water; Rim Sparkling Water Can; Domo Becarbonate sada; Domo Food Coloring; Sanita Classic; Souplex Powder; Sanita Zipper Bags; Quinoa; Vermicelle Pasta; Plein Soleil Tuna Oil; Sweet Corn; Pasta Fusilli; Extra Olive Oil; Adam Salt Fine; Origano spice; Mayonaise; Balsamic Vinegair; Ketchup Gallon 2 k; Tortillas; Devon Cheddar Chips; Croco Sticks; Croco Mix; Bjorg Choco  Noir; Fruits &amp; Vgtebales; Mozarella; President; Olive Slice; Aroma Pickles; Argal Pechuga; Ferrarini Padano</t>
  </si>
  <si>
    <t xml:space="preserve">5-36</t>
  </si>
  <si>
    <t xml:space="preserve">20260717-003</t>
  </si>
  <si>
    <t xml:space="preserve">Clay; Printing LAser,Clay,Peinture</t>
  </si>
  <si>
    <t xml:space="preserve">38-39</t>
  </si>
  <si>
    <t xml:space="preserve">20260717-004</t>
  </si>
  <si>
    <t xml:space="preserve">Bread; Block Chocolate; Divers; Lurpak; Dark Chocolat; Coffe; Raisin Dark; Onion; Green Paper; Sun Flower oil; Walnuts; Mozarella Cheese; Pomi Tomato; Khoury Laban</t>
  </si>
  <si>
    <t xml:space="preserve">41-55</t>
  </si>
  <si>
    <t xml:space="preserve">20260717-005</t>
  </si>
  <si>
    <t xml:space="preserve">Froks.spoon, Meal Box, Juice Btl,Salad Boat, Plates Boat, Paper Boats, jars</t>
  </si>
  <si>
    <t xml:space="preserve">57</t>
  </si>
  <si>
    <t xml:space="preserve">20260717-006</t>
  </si>
  <si>
    <t xml:space="preserve">Cold Ice, Water Gallon &amp;Small btls, Fruits , veg,Olive Oil , Sanita</t>
  </si>
  <si>
    <t xml:space="preserve">59</t>
  </si>
  <si>
    <t xml:space="preserve">20260717-007</t>
  </si>
  <si>
    <t xml:space="preserve">Mafroume</t>
  </si>
  <si>
    <t xml:space="preserve">60</t>
  </si>
  <si>
    <t xml:space="preserve">20260718-001</t>
  </si>
  <si>
    <t xml:space="preserve">Brasilian Beef; Local Beef Habra</t>
  </si>
  <si>
    <t xml:space="preserve">18-july</t>
  </si>
  <si>
    <t xml:space="preserve">4-5</t>
  </si>
  <si>
    <t xml:space="preserve">20260718-002</t>
  </si>
  <si>
    <t xml:space="preserve">Bakery</t>
  </si>
  <si>
    <t xml:space="preserve">20260718-003</t>
  </si>
  <si>
    <t xml:space="preserve">Burgers</t>
  </si>
  <si>
    <t xml:space="preserve">20260718-004</t>
  </si>
  <si>
    <t xml:space="preserve">Ice &amp; Water</t>
  </si>
  <si>
    <t xml:space="preserve">20260718-005</t>
  </si>
  <si>
    <t xml:space="preserve">20260719-001</t>
  </si>
  <si>
    <t xml:space="preserve">Muffin Cake; Mini Burgers</t>
  </si>
  <si>
    <t xml:space="preserve">19-July</t>
  </si>
  <si>
    <t xml:space="preserve">5-6</t>
  </si>
  <si>
    <t xml:space="preserve">20260719-002</t>
  </si>
  <si>
    <t xml:space="preserve">Burgers; Delivery</t>
  </si>
  <si>
    <t xml:space="preserve">20260719-003</t>
  </si>
  <si>
    <t xml:space="preserve">Divers; F&amp;V; water Rim; Cold Ice</t>
  </si>
  <si>
    <t xml:space="preserve">9-12</t>
  </si>
  <si>
    <t xml:space="preserve">20260720-001</t>
  </si>
  <si>
    <t xml:space="preserve">20-July</t>
  </si>
  <si>
    <t xml:space="preserve">Source category not recorded; classified from supplier</t>
  </si>
  <si>
    <t xml:space="preserve">20260721-001</t>
  </si>
  <si>
    <t xml:space="preserve">Rabieh Nursery Visit</t>
  </si>
  <si>
    <t xml:space="preserve">Spray 7acharat; Spontex &amp; Ranbow</t>
  </si>
  <si>
    <t xml:space="preserve">21-July</t>
  </si>
  <si>
    <t xml:space="preserve">20260721-002</t>
  </si>
  <si>
    <t xml:space="preserve">Canson</t>
  </si>
  <si>
    <t xml:space="preserve">20260721-003</t>
  </si>
  <si>
    <t xml:space="preserve">Strow, Stone, Farm Animal...</t>
  </si>
  <si>
    <t xml:space="preserve">20260721-004</t>
  </si>
  <si>
    <t xml:space="preserve">Bubble Game; Scotch; Glue; Garbage Bags; Glue Big; Washable Acrylic; Scissor; Description not recorded</t>
  </si>
  <si>
    <t xml:space="preserve">8-15</t>
  </si>
  <si>
    <t xml:space="preserve">20260721-005</t>
  </si>
  <si>
    <t xml:space="preserve">Ramel Mgharbal,Trabeh</t>
  </si>
  <si>
    <t xml:space="preserve">16</t>
  </si>
  <si>
    <t xml:space="preserve">20260721-006</t>
  </si>
  <si>
    <t xml:space="preserve">Asab &amp;Tools For Garden</t>
  </si>
  <si>
    <t xml:space="preserve">20260721-007</t>
  </si>
  <si>
    <t xml:space="preserve">Bottles, Spoon, Fork, Salad Boat, Meal Box, Pasta Boat, Craft Boat</t>
  </si>
  <si>
    <t xml:space="preserve">20260723-001</t>
  </si>
  <si>
    <t xml:space="preserve">Mafroume Burger Kebbeh</t>
  </si>
  <si>
    <t xml:space="preserve">23-July</t>
  </si>
  <si>
    <t xml:space="preserve">20260723-002</t>
  </si>
  <si>
    <t xml:space="preserve">Office Tools</t>
  </si>
  <si>
    <t xml:space="preserve">Kitchen Tools</t>
  </si>
  <si>
    <t xml:space="preserve">20260724-001</t>
  </si>
  <si>
    <t xml:space="preserve">24-July</t>
  </si>
  <si>
    <t xml:space="preserve">20260724-002</t>
  </si>
  <si>
    <t xml:space="preserve">F&amp;V</t>
  </si>
  <si>
    <t xml:space="preserve">20260724-003</t>
  </si>
  <si>
    <t xml:space="preserve">F&amp;V, Water, Ice Flour, Sparkling Water</t>
  </si>
  <si>
    <t xml:space="preserve">20260724-004</t>
  </si>
  <si>
    <t xml:space="preserve">Burger, Mafroume, kebbe</t>
  </si>
  <si>
    <t xml:space="preserve">20260724-005</t>
  </si>
  <si>
    <t xml:space="preserve">Balkis Orange Juice</t>
  </si>
  <si>
    <t xml:space="preserve">20260724-006</t>
  </si>
  <si>
    <t xml:space="preserve">Peinture 1000 ml; Peinture 500ml; Canson A4 Red; pele; Feutre</t>
  </si>
  <si>
    <t xml:space="preserve">11-15</t>
  </si>
  <si>
    <t xml:space="preserve">20260724-007</t>
  </si>
  <si>
    <t xml:space="preserve">20260725-001</t>
  </si>
  <si>
    <t xml:space="preserve">Mafrome, kebbe, Burgers</t>
  </si>
  <si>
    <t xml:space="preserve">25-July</t>
  </si>
  <si>
    <t xml:space="preserve">20260725-002</t>
  </si>
  <si>
    <t xml:space="preserve">Inferred from source description: Food &amp; B For Birthday</t>
  </si>
  <si>
    <t xml:space="preserve">Food &amp; B For Birthday</t>
  </si>
  <si>
    <t xml:space="preserve">Activity inferred from description</t>
  </si>
  <si>
    <t xml:space="preserve">20260725-003</t>
  </si>
  <si>
    <t xml:space="preserve">Mini Burgers; Bassal</t>
  </si>
  <si>
    <t xml:space="preserve">5-7</t>
  </si>
  <si>
    <t xml:space="preserve">20260725-004</t>
  </si>
  <si>
    <t xml:space="preserve">Design Block Pad; Mozanit Board; Scissors; Ballons; Brush Set Pack of 6; Clay; Paper Color; Curves; Tapes; Silicon Mol Unicorn; Mazonite Board; Plastic Btl; Markers; Crepe Paper</t>
  </si>
  <si>
    <t xml:space="preserve">8-23</t>
  </si>
  <si>
    <t xml:space="preserve">20260725-005</t>
  </si>
  <si>
    <t xml:space="preserve">20260725-006</t>
  </si>
  <si>
    <t xml:space="preserve">27</t>
  </si>
  <si>
    <t xml:space="preserve">Source fields shifted; supplier recovered from item column</t>
  </si>
  <si>
    <t xml:space="preserve">20260727-001</t>
  </si>
  <si>
    <t xml:space="preserve">Wrapping paper; clay</t>
  </si>
  <si>
    <t xml:space="preserve">27-July</t>
  </si>
  <si>
    <t xml:space="preserve">20260727-002</t>
  </si>
  <si>
    <t xml:space="preserve">Party Candels,Dry Flowers,Painting Stand.....</t>
  </si>
  <si>
    <t xml:space="preserve">20260727-003</t>
  </si>
  <si>
    <t xml:space="preserve">20260727-004</t>
  </si>
  <si>
    <t xml:space="preserve">Fruits,Veg,Sparkling Water, Milk,pasta</t>
  </si>
  <si>
    <t xml:space="preserve">20260727-005</t>
  </si>
  <si>
    <t xml:space="preserve">20260727-006</t>
  </si>
  <si>
    <t xml:space="preserve">Oil, Vinegar, Balkis,Saly,....</t>
  </si>
  <si>
    <t xml:space="preserve">19</t>
  </si>
  <si>
    <t xml:space="preserve">20260727-007</t>
  </si>
  <si>
    <t xml:space="preserve">F&amp;V, Water, Trash Bags Baking Soda, Cheese, Beer</t>
  </si>
  <si>
    <t xml:space="preserve">21</t>
  </si>
  <si>
    <t xml:space="preserve">20260729-001</t>
  </si>
  <si>
    <t xml:space="preserve">29-July</t>
  </si>
  <si>
    <t xml:space="preserve">20260729-002</t>
  </si>
  <si>
    <t xml:space="preserve">Mafroume, Burgers Kebbe</t>
  </si>
  <si>
    <t xml:space="preserve">20260729-003</t>
  </si>
  <si>
    <t xml:space="preserve">Sparkling Water, Lemon, Fruits,Veg, Odex</t>
  </si>
  <si>
    <t xml:space="preserve">20260729-004</t>
  </si>
  <si>
    <t xml:space="preserve">F&amp;V, LAban, Ice</t>
  </si>
  <si>
    <t xml:space="preserve">20260731-001</t>
  </si>
  <si>
    <t xml:space="preserve">Fruits baking soda,Vinigair, pasta Paper Cup; Emmental, Mozarella, olive Oil,dark Chocolate</t>
  </si>
  <si>
    <t xml:space="preserve">31-July</t>
  </si>
  <si>
    <t xml:space="preserve">20260731-002</t>
  </si>
  <si>
    <t xml:space="preserve">Assab</t>
  </si>
  <si>
    <t xml:space="preserve">20260802-001</t>
  </si>
  <si>
    <t xml:space="preserve">20260802-B001</t>
  </si>
  <si>
    <t xml:space="preserve">676400</t>
  </si>
  <si>
    <t xml:space="preserve">Birthday; Walk-in; Workshop; Event</t>
  </si>
  <si>
    <t xml:space="preserve">Birthday &amp; Walk-in</t>
  </si>
  <si>
    <t xml:space="preserve">Workshops Birthday – Walk-in &amp; Event</t>
  </si>
  <si>
    <t xml:space="preserve">Extra Large Blocks; Toys Mul; Beach Toys Hero Small; Stainless Slott; Toys Dee Ball; Beach Toys T-84; Sport Toys k-47; Sport Toys k-51; Kitchen Untensil C-50; Dumpling Moull; Plastic Teperware</t>
  </si>
  <si>
    <t xml:space="preserve">2-8-2026</t>
  </si>
  <si>
    <t xml:space="preserve">4-14</t>
  </si>
  <si>
    <t xml:space="preserve">20260802-002</t>
  </si>
  <si>
    <t xml:space="preserve">20260802-B002</t>
  </si>
  <si>
    <t xml:space="preserve">46090</t>
  </si>
  <si>
    <t xml:space="preserve">F&amp;V; Bamboo</t>
  </si>
  <si>
    <t xml:space="preserve">16-17</t>
  </si>
  <si>
    <t xml:space="preserve">20260802-003</t>
  </si>
  <si>
    <t xml:space="preserve">20260802-B003</t>
  </si>
  <si>
    <t xml:space="preserve">Not recorded</t>
  </si>
  <si>
    <t xml:space="preserve">Moteur; Description not recorded</t>
  </si>
  <si>
    <t xml:space="preserve">18-19</t>
  </si>
  <si>
    <t xml:space="preserve">Invoice number not recorded in source; Supplier not recorded</t>
  </si>
  <si>
    <t xml:space="preserve">20260802-004</t>
  </si>
  <si>
    <t xml:space="preserve">20260802-B004</t>
  </si>
  <si>
    <t xml:space="preserve">Citern water</t>
  </si>
  <si>
    <t xml:space="preserve">Invoice number not recorded in source; Source date normalized to 2026-08-02; raw date preserved; Supplier not recorded</t>
  </si>
  <si>
    <t xml:space="preserve">20260802-005</t>
  </si>
  <si>
    <t xml:space="preserve">20260802-B005</t>
  </si>
  <si>
    <t xml:space="preserve">Invoice number not recorded in source</t>
  </si>
  <si>
    <t xml:space="preserve">20260802-006</t>
  </si>
  <si>
    <t xml:space="preserve">20260802-B006</t>
  </si>
  <si>
    <t xml:space="preserve">20260801-001</t>
  </si>
  <si>
    <t xml:space="preserve">20260801-B001</t>
  </si>
  <si>
    <t xml:space="preserve">5768</t>
  </si>
  <si>
    <t xml:space="preserve">Monthly Expenses</t>
  </si>
  <si>
    <t xml:space="preserve">Garbege</t>
  </si>
  <si>
    <t xml:space="preserve">7-August</t>
  </si>
  <si>
    <t xml:space="preserve">20260807-001</t>
  </si>
  <si>
    <t xml:space="preserve">20260807-B001</t>
  </si>
  <si>
    <t xml:space="preserve">71</t>
  </si>
  <si>
    <t xml:space="preserve">Ramel &amp; Jafsin</t>
  </si>
  <si>
    <t xml:space="preserve">20260807-002</t>
  </si>
  <si>
    <t xml:space="preserve">20260807-B002</t>
  </si>
  <si>
    <t xml:space="preserve">46315</t>
  </si>
  <si>
    <t xml:space="preserve">20260807-003</t>
  </si>
  <si>
    <t xml:space="preserve">20260807-B003</t>
  </si>
  <si>
    <t xml:space="preserve">46350</t>
  </si>
  <si>
    <t xml:space="preserve">20260807-004</t>
  </si>
  <si>
    <t xml:space="preserve">20260807-B004</t>
  </si>
  <si>
    <t xml:space="preserve">46485</t>
  </si>
  <si>
    <t xml:space="preserve">F&amp;V; Water; Cold Ice 2 k</t>
  </si>
  <si>
    <t xml:space="preserve">14-17</t>
  </si>
  <si>
    <t xml:space="preserve">20260807-005</t>
  </si>
  <si>
    <t xml:space="preserve">20260807-B005</t>
  </si>
  <si>
    <t xml:space="preserve">70270012400106</t>
  </si>
  <si>
    <t xml:space="preserve">Workshops Activity</t>
  </si>
  <si>
    <t xml:space="preserve">Stamps,wodden sticks,Craft,AnimalToys, Ribbon</t>
  </si>
  <si>
    <t xml:space="preserve">20260807-006</t>
  </si>
  <si>
    <t xml:space="preserve">20260807-B006</t>
  </si>
  <si>
    <t xml:space="preserve">22000215631</t>
  </si>
  <si>
    <t xml:space="preserve">Workshops Activity &amp;Hygiene</t>
  </si>
  <si>
    <t xml:space="preserve">Spontex, wipes,sunflower oil, Food Coloring</t>
  </si>
  <si>
    <t xml:space="preserve">20260808-001</t>
  </si>
  <si>
    <t xml:space="preserve">20260808-B001</t>
  </si>
  <si>
    <t xml:space="preserve">46531</t>
  </si>
  <si>
    <t xml:space="preserve">Najjar Gold; Ice 2kg; F&amp; V</t>
  </si>
  <si>
    <t xml:space="preserve">8-August</t>
  </si>
  <si>
    <t xml:space="preserve">4-6</t>
  </si>
  <si>
    <t xml:space="preserve">20260808-002</t>
  </si>
  <si>
    <t xml:space="preserve">20260808-B002</t>
  </si>
  <si>
    <t xml:space="preserve">46573</t>
  </si>
  <si>
    <t xml:space="preserve">Rim water; Sodium Bicarbonate; Ice 2kg; F&amp; V; Baygon Barghach</t>
  </si>
  <si>
    <t xml:space="preserve">7-11</t>
  </si>
  <si>
    <t xml:space="preserve">20260808-003</t>
  </si>
  <si>
    <t xml:space="preserve">20260808-B003</t>
  </si>
  <si>
    <t xml:space="preserve">46579</t>
  </si>
  <si>
    <t xml:space="preserve">Energizer Battery</t>
  </si>
  <si>
    <t xml:space="preserve">20260808-004</t>
  </si>
  <si>
    <t xml:space="preserve">20260808-B004</t>
  </si>
  <si>
    <t xml:space="preserve">Burger</t>
  </si>
  <si>
    <t xml:space="preserve">20260808-005</t>
  </si>
  <si>
    <t xml:space="preserve">20260808-B005</t>
  </si>
  <si>
    <t xml:space="preserve">burger Bread</t>
  </si>
  <si>
    <t xml:space="preserve">Invoice number not recorded in source; Source date normalized to 2026-08-08; raw date preserved</t>
  </si>
  <si>
    <t xml:space="preserve">20260808-006</t>
  </si>
  <si>
    <t xml:space="preserve">20260808-B006</t>
  </si>
  <si>
    <t xml:space="preserve">15</t>
  </si>
  <si>
    <t xml:space="preserve">20260809-001</t>
  </si>
  <si>
    <t xml:space="preserve">20260809-B001</t>
  </si>
  <si>
    <t xml:space="preserve">46627</t>
  </si>
  <si>
    <t xml:space="preserve">Beirut beer; F&amp;V; Fahem Colombie; Oil</t>
  </si>
  <si>
    <t xml:space="preserve">9-August</t>
  </si>
  <si>
    <t xml:space="preserve">3, 6-8</t>
  </si>
  <si>
    <t xml:space="preserve">20260809-002</t>
  </si>
  <si>
    <t xml:space="preserve">Ice 2kg</t>
  </si>
  <si>
    <t xml:space="preserve">20260809-003</t>
  </si>
  <si>
    <t xml:space="preserve">Birthday; Walk-in</t>
  </si>
  <si>
    <t xml:space="preserve">Drink</t>
  </si>
  <si>
    <t xml:space="preserve">Sparkling water</t>
  </si>
  <si>
    <t xml:space="preserve">20260809-004</t>
  </si>
  <si>
    <t xml:space="preserve">20260809-B002</t>
  </si>
  <si>
    <t xml:space="preserve">46759</t>
  </si>
  <si>
    <t xml:space="preserve">Flour 1kg; F&amp;V</t>
  </si>
  <si>
    <t xml:space="preserve">9-10</t>
  </si>
  <si>
    <t xml:space="preserve">20260809-005</t>
  </si>
  <si>
    <t xml:space="preserve">20260809-B003</t>
  </si>
  <si>
    <t xml:space="preserve">46657</t>
  </si>
  <si>
    <t xml:space="preserve">Food &amp; Beverage; Not recorded</t>
  </si>
  <si>
    <t xml:space="preserve">Domo Baking Soda; F&amp;V</t>
  </si>
  <si>
    <t xml:space="preserve">11, 16-17</t>
  </si>
  <si>
    <t xml:space="preserve">20260809-006</t>
  </si>
  <si>
    <t xml:space="preserve">Birthday; Workshop</t>
  </si>
  <si>
    <t xml:space="preserve">Birthday Activity</t>
  </si>
  <si>
    <t xml:space="preserve">Domo Vanilla; Cotton</t>
  </si>
  <si>
    <t xml:space="preserve">12-13</t>
  </si>
  <si>
    <t xml:space="preserve">20260809-007</t>
  </si>
  <si>
    <t xml:space="preserve">Trash Bags L</t>
  </si>
  <si>
    <t xml:space="preserve">14-15</t>
  </si>
  <si>
    <t xml:space="preserve">20260809-008</t>
  </si>
  <si>
    <t xml:space="preserve">20260809-B004</t>
  </si>
  <si>
    <t xml:space="preserve">46668</t>
  </si>
  <si>
    <t xml:space="preserve">Beirut beer; Ice 2kg; Water Gallon</t>
  </si>
  <si>
    <t xml:space="preserve">18-20</t>
  </si>
  <si>
    <t xml:space="preserve">20260809-009</t>
  </si>
  <si>
    <t xml:space="preserve">20260809-B005</t>
  </si>
  <si>
    <t xml:space="preserve">46681</t>
  </si>
  <si>
    <t xml:space="preserve">21-22</t>
  </si>
  <si>
    <t xml:space="preserve">20260809-010</t>
  </si>
  <si>
    <t xml:space="preserve">20260809-B006</t>
  </si>
  <si>
    <t xml:space="preserve">46940</t>
  </si>
  <si>
    <t xml:space="preserve">Flour 1kg</t>
  </si>
  <si>
    <t xml:space="preserve">20260809-011</t>
  </si>
  <si>
    <t xml:space="preserve">20260809-B007</t>
  </si>
  <si>
    <t xml:space="preserve">47174</t>
  </si>
  <si>
    <t xml:space="preserve">Source date normalized to 2026-08-09; raw date preserved</t>
  </si>
  <si>
    <t xml:space="preserve">20260809-012</t>
  </si>
  <si>
    <t xml:space="preserve">20260809-B008</t>
  </si>
  <si>
    <t xml:space="preserve">Burger, Kebbeh</t>
  </si>
  <si>
    <t xml:space="preserve">Invoice number not recorded in source; Source date normalized to 2026-08-09; raw date preserved</t>
  </si>
  <si>
    <t xml:space="preserve">20260809-013</t>
  </si>
  <si>
    <t xml:space="preserve">20260809-B009</t>
  </si>
  <si>
    <t xml:space="preserve">Mafroume &amp; Old Invoice</t>
  </si>
  <si>
    <t xml:space="preserve">26</t>
  </si>
  <si>
    <t xml:space="preserve">20260809-014</t>
  </si>
  <si>
    <t xml:space="preserve">20260809-B010</t>
  </si>
  <si>
    <t xml:space="preserve">1292197</t>
  </si>
  <si>
    <t xml:space="preserve">Balkis orange juice; chips</t>
  </si>
  <si>
    <t xml:space="preserve">27-28</t>
  </si>
  <si>
    <t xml:space="preserve">20260812-001</t>
  </si>
  <si>
    <t xml:space="preserve">20260812-B001</t>
  </si>
  <si>
    <t xml:space="preserve">22532</t>
  </si>
  <si>
    <t xml:space="preserve">Parmessiano</t>
  </si>
  <si>
    <t xml:space="preserve">12-August</t>
  </si>
  <si>
    <t xml:space="preserve">20260812-002</t>
  </si>
  <si>
    <t xml:space="preserve">20260812-B002</t>
  </si>
  <si>
    <t xml:space="preserve">61150133218764</t>
  </si>
  <si>
    <t xml:space="preserve">Rim Water Gallon</t>
  </si>
  <si>
    <t xml:space="preserve">20260812-003</t>
  </si>
  <si>
    <t xml:space="preserve">20260812-B003</t>
  </si>
  <si>
    <t xml:space="preserve">7622</t>
  </si>
  <si>
    <t xml:space="preserve">Birthday; Walk-in; Workshop</t>
  </si>
  <si>
    <t xml:space="preserve">Supplies Workshops</t>
  </si>
  <si>
    <t xml:space="preserve">Workshops -Birthday &amp; Walk-in</t>
  </si>
  <si>
    <t xml:space="preserve">Peinture , Cube Sketchbook,</t>
  </si>
  <si>
    <t xml:space="preserve">20260812-004</t>
  </si>
  <si>
    <t xml:space="preserve">20260812-B004</t>
  </si>
  <si>
    <t xml:space="preserve">65</t>
  </si>
  <si>
    <t xml:space="preserve">Fruit &amp; Veg</t>
  </si>
  <si>
    <t xml:space="preserve">11</t>
  </si>
  <si>
    <t xml:space="preserve">20260812-005</t>
  </si>
  <si>
    <t xml:space="preserve">20260812-B005</t>
  </si>
  <si>
    <t xml:space="preserve">Nchara</t>
  </si>
  <si>
    <t xml:space="preserve">20260812-006</t>
  </si>
  <si>
    <t xml:space="preserve">20260812-B006</t>
  </si>
  <si>
    <t xml:space="preserve">26916</t>
  </si>
  <si>
    <t xml:space="preserve">F&amp;V, Ice Water,Salt vermicelle</t>
  </si>
  <si>
    <t xml:space="preserve">20260812-007</t>
  </si>
  <si>
    <t xml:space="preserve">20260812-B007</t>
  </si>
  <si>
    <t xml:space="preserve">Food &amp; Beverage ,Drink</t>
  </si>
  <si>
    <t xml:space="preserve">Milk; Battery; paper cup 50pc</t>
  </si>
  <si>
    <t xml:space="preserve">15-17</t>
  </si>
  <si>
    <t xml:space="preserve">20260812-008</t>
  </si>
  <si>
    <t xml:space="preserve">Domo Food Coloring; Flour; Ketchup</t>
  </si>
  <si>
    <t xml:space="preserve">20260812-009</t>
  </si>
  <si>
    <t xml:space="preserve">20260812-B008</t>
  </si>
  <si>
    <t xml:space="preserve">35228</t>
  </si>
  <si>
    <t xml:space="preserve">Supplies Workshops&amp; Hygiene</t>
  </si>
  <si>
    <t xml:space="preserve">Wipes</t>
  </si>
  <si>
    <t xml:space="preserve">20260812-010</t>
  </si>
  <si>
    <t xml:space="preserve">Food Coloring, Flour, Oil, Vinigair</t>
  </si>
  <si>
    <t xml:space="preserve">20260812-011</t>
  </si>
  <si>
    <t xml:space="preserve">20260812-B009</t>
  </si>
  <si>
    <t xml:space="preserve">7000267466</t>
  </si>
  <si>
    <t xml:space="preserve">Napkin; Candia Milk, Beirut Beer, sparkling; Domo Food Coloring; Essence Coconut</t>
  </si>
  <si>
    <t xml:space="preserve">27-30</t>
  </si>
  <si>
    <t xml:space="preserve">20260812-012</t>
  </si>
  <si>
    <t xml:space="preserve">Pasta,Vinigair, F&amp;V,</t>
  </si>
  <si>
    <t xml:space="preserve">31</t>
  </si>
  <si>
    <t xml:space="preserve">20260812-013</t>
  </si>
  <si>
    <t xml:space="preserve">20260812-B010</t>
  </si>
  <si>
    <t xml:space="preserve">F&amp;V, Oil, Laban, Stevia, Cacao, Choclate</t>
  </si>
  <si>
    <t xml:space="preserve">33</t>
  </si>
  <si>
    <t xml:space="preserve">20260813-001</t>
  </si>
  <si>
    <t xml:space="preserve">20260813-B001</t>
  </si>
  <si>
    <t xml:space="preserve">67640</t>
  </si>
  <si>
    <t xml:space="preserve">Lettus</t>
  </si>
  <si>
    <t xml:space="preserve">13-August_</t>
  </si>
  <si>
    <t xml:space="preserve">20260813-002</t>
  </si>
  <si>
    <t xml:space="preserve">Rim water</t>
  </si>
  <si>
    <t xml:space="preserve">20260813-003</t>
  </si>
  <si>
    <t xml:space="preserve">Cotton</t>
  </si>
  <si>
    <t xml:space="preserve">20260813-004</t>
  </si>
  <si>
    <t xml:space="preserve">20260813-B002</t>
  </si>
  <si>
    <t xml:space="preserve">47052</t>
  </si>
  <si>
    <t xml:space="preserve">Bouchee Naturelle</t>
  </si>
  <si>
    <t xml:space="preserve">20260813-005</t>
  </si>
  <si>
    <t xml:space="preserve">20260813-B003</t>
  </si>
  <si>
    <t xml:space="preserve">47121</t>
  </si>
  <si>
    <t xml:space="preserve">F&amp;V; Bouchee Naturelle</t>
  </si>
  <si>
    <t xml:space="preserve">20260813-006</t>
  </si>
  <si>
    <t xml:space="preserve">20260813-B004</t>
  </si>
  <si>
    <t xml:space="preserve">F&amp;V; Divers</t>
  </si>
  <si>
    <t xml:space="preserve">11-13</t>
  </si>
  <si>
    <t xml:space="preserve">Invoice number not recorded in source; Source date normalized to 2026-08-13; raw date preserved; Supplier not recorded</t>
  </si>
  <si>
    <t xml:space="preserve">20260813-007</t>
  </si>
  <si>
    <t xml:space="preserve">20260813-B005</t>
  </si>
  <si>
    <t xml:space="preserve">Fahem Colombi</t>
  </si>
  <si>
    <t xml:space="preserve">20260813-008</t>
  </si>
  <si>
    <t xml:space="preserve">20260813-B006</t>
  </si>
  <si>
    <t xml:space="preserve">47172</t>
  </si>
  <si>
    <t xml:space="preserve">15-16</t>
  </si>
  <si>
    <t xml:space="preserve">Shifted source cells; source formula error isolated and amount recomputed from preserved inputs; Shifted source cells; amount recomputed from preserved inputs</t>
  </si>
  <si>
    <t xml:space="preserve">20260815-001</t>
  </si>
  <si>
    <t xml:space="preserve">20260815-B001</t>
  </si>
  <si>
    <t xml:space="preserve">1</t>
  </si>
  <si>
    <t xml:space="preserve">15-August_</t>
  </si>
  <si>
    <t xml:space="preserve">20260815-002</t>
  </si>
  <si>
    <t xml:space="preserve">20260815-B002</t>
  </si>
  <si>
    <t xml:space="preserve">Citern Wtaer Little Hands</t>
  </si>
  <si>
    <t xml:space="preserve">Invoice number recorded as 0 in source</t>
  </si>
  <si>
    <t xml:space="preserve">20260815-003</t>
  </si>
  <si>
    <t xml:space="preserve">20260815-B003</t>
  </si>
  <si>
    <t xml:space="preserve">2271793</t>
  </si>
  <si>
    <t xml:space="preserve">Saly; Fluffy; Balkis; Bamboo; Croco Sticks; Ghandour; Panzani</t>
  </si>
  <si>
    <t xml:space="preserve">11-15, 17-19</t>
  </si>
  <si>
    <t xml:space="preserve">20260815-004</t>
  </si>
  <si>
    <t xml:space="preserve">Wipes Oui Oui; Mimosa</t>
  </si>
  <si>
    <t xml:space="preserve">16, 20</t>
  </si>
  <si>
    <t xml:space="preserve">20260815-005</t>
  </si>
  <si>
    <t xml:space="preserve">20260815-B004</t>
  </si>
  <si>
    <t xml:space="preserve">66</t>
  </si>
  <si>
    <t xml:space="preserve">Hasiret Asab</t>
  </si>
  <si>
    <t xml:space="preserve">20260815-006</t>
  </si>
  <si>
    <t xml:space="preserve">20260815-B005</t>
  </si>
  <si>
    <t xml:space="preserve">Chicken,Habra,Beef</t>
  </si>
  <si>
    <t xml:space="preserve">20260816-001</t>
  </si>
  <si>
    <t xml:space="preserve">20260816-B001</t>
  </si>
  <si>
    <t xml:space="preserve">47248</t>
  </si>
  <si>
    <t xml:space="preserve">16-August_</t>
  </si>
  <si>
    <t xml:space="preserve">20260816-002</t>
  </si>
  <si>
    <t xml:space="preserve">Ice</t>
  </si>
  <si>
    <t xml:space="preserve">20260816-003</t>
  </si>
  <si>
    <t xml:space="preserve">Flour 1K</t>
  </si>
  <si>
    <t xml:space="preserve">20260816-004</t>
  </si>
  <si>
    <t xml:space="preserve">20260816-B002</t>
  </si>
  <si>
    <t xml:space="preserve">47278</t>
  </si>
  <si>
    <t xml:space="preserve">20260817-001</t>
  </si>
  <si>
    <t xml:space="preserve">20260817-B001</t>
  </si>
  <si>
    <t xml:space="preserve">47343</t>
  </si>
  <si>
    <t xml:space="preserve">17-August_</t>
  </si>
  <si>
    <t xml:space="preserve">20260817-002</t>
  </si>
  <si>
    <t xml:space="preserve">Zipper Bags; All Pure Cotton; Javel Maxi; F&amp;V</t>
  </si>
  <si>
    <t xml:space="preserve">5-8</t>
  </si>
  <si>
    <t xml:space="preserve">20260818-001</t>
  </si>
  <si>
    <t xml:space="preserve">20260818-B001</t>
  </si>
  <si>
    <t xml:space="preserve">47431</t>
  </si>
  <si>
    <t xml:space="preserve">Apple; Nectatin; Banana; Strawberry</t>
  </si>
  <si>
    <t xml:space="preserve">18-August_</t>
  </si>
  <si>
    <t xml:space="preserve">20260818-002</t>
  </si>
  <si>
    <t xml:space="preserve">Flour 1 Kg</t>
  </si>
  <si>
    <t xml:space="preserve">20260818-003</t>
  </si>
  <si>
    <t xml:space="preserve">20260818-B002</t>
  </si>
  <si>
    <t xml:space="preserve">61150133219307</t>
  </si>
  <si>
    <t xml:space="preserve">Bar</t>
  </si>
  <si>
    <t xml:space="preserve">Drink For Birthday &amp; walk-in</t>
  </si>
  <si>
    <t xml:space="preserve">Water Big Gallon</t>
  </si>
  <si>
    <t xml:space="preserve">20260818-004</t>
  </si>
  <si>
    <t xml:space="preserve">20260818-B003</t>
  </si>
  <si>
    <t xml:space="preserve">I30078673</t>
  </si>
  <si>
    <t xml:space="preserve">Hummous; Sweet Corn; Chicken breast; Flour zero; F&amp;V; Cheese,Dinde,Mayo , Olice Oil,Mozarella, Sunflower Oil</t>
  </si>
  <si>
    <t xml:space="preserve">11-16</t>
  </si>
  <si>
    <t xml:space="preserve">20260822-001</t>
  </si>
  <si>
    <t xml:space="preserve">20260822-B001</t>
  </si>
  <si>
    <t xml:space="preserve">67</t>
  </si>
  <si>
    <t xml:space="preserve">Imdedet Water</t>
  </si>
  <si>
    <t xml:space="preserve">22=August</t>
  </si>
  <si>
    <t xml:space="preserve">Source date normalized to 2026-08-22; raw date preserved</t>
  </si>
  <si>
    <t xml:space="preserve">20260822-002</t>
  </si>
  <si>
    <t xml:space="preserve">20260822-B002</t>
  </si>
  <si>
    <t xml:space="preserve">Citern Water</t>
  </si>
  <si>
    <t xml:space="preserve">Invoice number not recorded in source; Source date normalized to 2026-08-22; raw date preserved</t>
  </si>
  <si>
    <t xml:space="preserve">20260826-001</t>
  </si>
  <si>
    <t xml:space="preserve">20260826-B001</t>
  </si>
  <si>
    <t xml:space="preserve">Burgers; Mafroumr Kebbeh</t>
  </si>
  <si>
    <t xml:space="preserve">26-August</t>
  </si>
  <si>
    <t xml:space="preserve">20260826-002</t>
  </si>
  <si>
    <t xml:space="preserve">20260826-B002</t>
  </si>
  <si>
    <t xml:space="preserve">laban Khoury &amp; Dey na3na3</t>
  </si>
  <si>
    <t xml:space="preserve">20260826-003</t>
  </si>
  <si>
    <t xml:space="preserve">20260826-B003</t>
  </si>
  <si>
    <t xml:space="preserve">69</t>
  </si>
  <si>
    <t xml:space="preserve">Fruits &amp; Veg</t>
  </si>
  <si>
    <t xml:space="preserve">20260826-004</t>
  </si>
  <si>
    <t xml:space="preserve">20260826-B004</t>
  </si>
  <si>
    <t xml:space="preserve">2327587</t>
  </si>
  <si>
    <t xml:space="preserve">wipes</t>
  </si>
  <si>
    <t xml:space="preserve">20260826-005</t>
  </si>
  <si>
    <t xml:space="preserve">20260826-B005</t>
  </si>
  <si>
    <t xml:space="preserve">20074054</t>
  </si>
  <si>
    <t xml:space="preserve">Hummus Olive oil, Mozarella</t>
  </si>
  <si>
    <t xml:space="preserve">20260829-001</t>
  </si>
  <si>
    <t xml:space="preserve">20260829-B001</t>
  </si>
  <si>
    <t xml:space="preserve">Laban; Chicken Breast; Pepper; Tuna; Veg; Prun; Raisin; Mayonaise; Nectarine; Lettuce</t>
  </si>
  <si>
    <t xml:space="preserve">29-August_</t>
  </si>
  <si>
    <t xml:space="preserve">20260829-002</t>
  </si>
  <si>
    <t xml:space="preserve">20260829-B002</t>
  </si>
  <si>
    <t xml:space="preserve">20260829-003</t>
  </si>
  <si>
    <t xml:space="preserve">20260829-B003</t>
  </si>
  <si>
    <t xml:space="preserve">70</t>
  </si>
  <si>
    <t xml:space="preserve">Full Master Total</t>
  </si>
  <si>
    <t xml:space="preserve">Includes June, July and August</t>
  </si>
</sst>
</file>

<file path=xl/styles.xml><?xml version="1.0" encoding="utf-8"?>
<styleSheet xmlns="http://schemas.openxmlformats.org/spreadsheetml/2006/main">
  <numFmts count="6">
    <numFmt numFmtId="164" formatCode="General"/>
    <numFmt numFmtId="165" formatCode="\$#,##0.00;[RED]&quot;($&quot;#,##0.00\);\-"/>
    <numFmt numFmtId="166" formatCode="0.0%;[RED]\(0.0%\);\-"/>
    <numFmt numFmtId="167" formatCode="dd\-mmm\-yyyy"/>
    <numFmt numFmtId="168" formatCode="&quot;LBP &quot;#,##0;[RED]&quot;(LBP &quot;#,##0\);\-"/>
    <numFmt numFmtId="169" formatCode="#,##0"/>
  </numFmts>
  <fonts count="15">
    <font>
      <sz val="11"/>
      <name val="Calibri"/>
      <family val="0"/>
      <charset val="1"/>
    </font>
    <font>
      <sz val="10"/>
      <name val="Arial"/>
      <family val="0"/>
    </font>
    <font>
      <sz val="10"/>
      <name val="Arial"/>
      <family val="0"/>
    </font>
    <font>
      <sz val="10"/>
      <name val="Arial"/>
      <family val="0"/>
    </font>
    <font>
      <b val="true"/>
      <sz val="18"/>
      <color rgb="FFFFFFFF"/>
      <name val="Calibri"/>
      <family val="0"/>
      <charset val="1"/>
    </font>
    <font>
      <sz val="1"/>
      <color rgb="FFFFFFFF"/>
      <name val="Calibri"/>
      <family val="0"/>
      <charset val="1"/>
    </font>
    <font>
      <i val="true"/>
      <sz val="11"/>
      <color rgb="FF667085"/>
      <name val="Calibri"/>
      <family val="0"/>
      <charset val="1"/>
    </font>
    <font>
      <b val="true"/>
      <sz val="11"/>
      <color rgb="FF17324D"/>
      <name val="Calibri"/>
      <family val="0"/>
      <charset val="1"/>
    </font>
    <font>
      <b val="true"/>
      <sz val="11"/>
      <color rgb="FF0000FF"/>
      <name val="Calibri"/>
      <family val="0"/>
      <charset val="1"/>
    </font>
    <font>
      <sz val="11"/>
      <color rgb="FF1F2937"/>
      <name val="Calibri"/>
      <family val="0"/>
      <charset val="1"/>
    </font>
    <font>
      <b val="true"/>
      <sz val="11"/>
      <color rgb="FFFFFFFF"/>
      <name val="Calibri"/>
      <family val="0"/>
      <charset val="1"/>
    </font>
    <font>
      <b val="true"/>
      <sz val="16"/>
      <color rgb="FF1F2937"/>
      <name val="Calibri"/>
      <family val="0"/>
      <charset val="1"/>
    </font>
    <font>
      <sz val="11"/>
      <color rgb="FF1F2937"/>
      <name val="Calibri"/>
      <family val="2"/>
      <charset val="1"/>
    </font>
    <font>
      <b val="true"/>
      <sz val="11"/>
      <color rgb="FF1F2937"/>
      <name val="Calibri"/>
      <family val="0"/>
      <charset val="1"/>
    </font>
    <font>
      <sz val="11"/>
      <color rgb="FF0000FF"/>
      <name val="Calibri"/>
      <family val="0"/>
      <charset val="1"/>
    </font>
  </fonts>
  <fills count="10">
    <fill>
      <patternFill patternType="none"/>
    </fill>
    <fill>
      <patternFill patternType="gray125"/>
    </fill>
    <fill>
      <patternFill patternType="solid">
        <fgColor rgb="FF17324D"/>
        <bgColor rgb="FF1F2937"/>
      </patternFill>
    </fill>
    <fill>
      <patternFill patternType="solid">
        <fgColor rgb="FFFFFFFF"/>
        <bgColor rgb="FFECFDF3"/>
      </patternFill>
    </fill>
    <fill>
      <patternFill patternType="solid">
        <fgColor rgb="FFEAF2F8"/>
        <bgColor rgb="FFE7F4F1"/>
      </patternFill>
    </fill>
    <fill>
      <patternFill patternType="solid">
        <fgColor rgb="FFFFF4D6"/>
        <bgColor rgb="FFFDECEC"/>
      </patternFill>
    </fill>
    <fill>
      <patternFill patternType="solid">
        <fgColor rgb="FFFDECEC"/>
        <bgColor rgb="FFFFF4D6"/>
      </patternFill>
    </fill>
    <fill>
      <patternFill patternType="solid">
        <fgColor rgb="FFE7F4F1"/>
        <bgColor rgb="FFEAF2F8"/>
      </patternFill>
    </fill>
    <fill>
      <patternFill patternType="solid">
        <fgColor rgb="FFECFDF3"/>
        <bgColor rgb="FFE7F4F1"/>
      </patternFill>
    </fill>
    <fill>
      <patternFill patternType="solid">
        <fgColor rgb="FF0F766E"/>
        <bgColor rgb="FF008080"/>
      </patternFill>
    </fill>
  </fills>
  <borders count="10">
    <border diagonalUp="false" diagonalDown="false">
      <left/>
      <right/>
      <top/>
      <bottom/>
      <diagonal/>
    </border>
    <border diagonalUp="false" diagonalDown="false">
      <left style="thin">
        <color rgb="FFD9A441"/>
      </left>
      <right style="thin">
        <color rgb="FFD9A441"/>
      </right>
      <top style="thin">
        <color rgb="FFD9A441"/>
      </top>
      <bottom style="thin">
        <color rgb="FFD9A441"/>
      </bottom>
      <diagonal/>
    </border>
    <border diagonalUp="false" diagonalDown="false">
      <left style="thin">
        <color rgb="FFD5DEE7"/>
      </left>
      <right style="thin">
        <color rgb="FFD5DEE7"/>
      </right>
      <top style="thin">
        <color rgb="FFD5DEE7"/>
      </top>
      <bottom style="thin">
        <color rgb="FFD5DEE7"/>
      </bottom>
      <diagonal/>
    </border>
    <border diagonalUp="false" diagonalDown="false">
      <left style="thin">
        <color rgb="FF17324D"/>
      </left>
      <right/>
      <top style="thin">
        <color rgb="FF17324D"/>
      </top>
      <bottom style="thin">
        <color rgb="FF17324D"/>
      </bottom>
      <diagonal/>
    </border>
    <border diagonalUp="false" diagonalDown="false">
      <left/>
      <right/>
      <top style="thin">
        <color rgb="FF17324D"/>
      </top>
      <bottom style="thin">
        <color rgb="FF17324D"/>
      </bottom>
      <diagonal/>
    </border>
    <border diagonalUp="false" diagonalDown="false">
      <left/>
      <right style="thin">
        <color rgb="FF17324D"/>
      </right>
      <top style="thin">
        <color rgb="FF17324D"/>
      </top>
      <bottom style="thin">
        <color rgb="FF17324D"/>
      </bottom>
      <diagonal/>
    </border>
    <border diagonalUp="false" diagonalDown="false">
      <left/>
      <right/>
      <top/>
      <bottom style="thin">
        <color rgb="FFD5DEE7"/>
      </bottom>
      <diagonal/>
    </border>
    <border diagonalUp="false" diagonalDown="false">
      <left/>
      <right/>
      <top style="thin">
        <color rgb="FFD5DEE7"/>
      </top>
      <bottom style="thin">
        <color rgb="FFD5DEE7"/>
      </bottom>
      <diagonal/>
    </border>
    <border diagonalUp="false" diagonalDown="false">
      <left style="thin">
        <color rgb="FFD5DEE7"/>
      </left>
      <right/>
      <top style="thin">
        <color rgb="FFD5DEE7"/>
      </top>
      <bottom style="thin">
        <color rgb="FFD5DEE7"/>
      </bottom>
      <diagonal/>
    </border>
    <border diagonalUp="false" diagonalDown="false">
      <left/>
      <right style="thin">
        <color rgb="FFD5DEE7"/>
      </right>
      <top style="thin">
        <color rgb="FFD5DEE7"/>
      </top>
      <bottom style="thin">
        <color rgb="FFD5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5" fillId="3" borderId="0" xfId="0" applyFont="true" applyBorder="false" applyAlignment="false" applyProtection="true">
      <alignment horizontal="general" vertical="bottom" textRotation="0" wrapText="false" indent="0" shrinkToFit="false"/>
      <protection locked="true" hidden="false"/>
    </xf>
    <xf numFmtId="164" fontId="6" fillId="4" borderId="0" xfId="0" applyFont="true" applyBorder="true" applyAlignment="true" applyProtection="true">
      <alignment horizontal="general" vertical="center" textRotation="0" wrapText="false" indent="0" shrinkToFit="false"/>
      <protection locked="true" hidden="false"/>
    </xf>
    <xf numFmtId="164" fontId="7" fillId="3" borderId="0" xfId="0" applyFont="true" applyBorder="false" applyAlignment="true" applyProtection="true">
      <alignment horizontal="right" vertical="center" textRotation="0" wrapText="false" indent="0" shrinkToFit="false"/>
      <protection locked="true" hidden="false"/>
    </xf>
    <xf numFmtId="164" fontId="8" fillId="5" borderId="1" xfId="0" applyFont="true" applyBorder="true" applyAlignment="true" applyProtection="true">
      <alignment horizontal="center" vertical="center" textRotation="0" wrapText="false" indent="0" shrinkToFit="false"/>
      <protection locked="false" hidden="false"/>
    </xf>
    <xf numFmtId="164" fontId="9" fillId="3" borderId="0" xfId="0" applyFont="true" applyBorder="false" applyAlignment="true" applyProtection="true">
      <alignment horizontal="general" vertical="center" textRotation="0" wrapText="false" indent="0" shrinkToFit="false"/>
      <protection locked="true" hidden="false"/>
    </xf>
    <xf numFmtId="164" fontId="10" fillId="2" borderId="0" xfId="0" applyFont="true" applyBorder="true" applyAlignment="true" applyProtection="true">
      <alignment horizontal="center" vertical="center" textRotation="0" wrapText="false" indent="0" shrinkToFit="false"/>
      <protection locked="true" hidden="false"/>
    </xf>
    <xf numFmtId="165" fontId="11" fillId="4" borderId="2" xfId="0" applyFont="true" applyBorder="true" applyAlignment="true" applyProtection="true">
      <alignment horizontal="center" vertical="center" textRotation="0" wrapText="false" indent="0" shrinkToFit="false"/>
      <protection locked="true" hidden="false"/>
    </xf>
    <xf numFmtId="165" fontId="11" fillId="6" borderId="2" xfId="0" applyFont="true" applyBorder="true" applyAlignment="true" applyProtection="true">
      <alignment horizontal="center" vertical="center" textRotation="0" wrapText="false" indent="0" shrinkToFit="false"/>
      <protection locked="true" hidden="false"/>
    </xf>
    <xf numFmtId="165" fontId="11" fillId="7" borderId="2" xfId="0" applyFont="true" applyBorder="true" applyAlignment="true" applyProtection="true">
      <alignment horizontal="center" vertical="center" textRotation="0" wrapText="false" indent="0" shrinkToFit="false"/>
      <protection locked="true" hidden="false"/>
    </xf>
    <xf numFmtId="165" fontId="11" fillId="8" borderId="2" xfId="0" applyFont="true" applyBorder="true" applyAlignment="true" applyProtection="true">
      <alignment horizontal="center" vertical="center" textRotation="0" wrapText="false" indent="0" shrinkToFit="false"/>
      <protection locked="true" hidden="false"/>
    </xf>
    <xf numFmtId="166" fontId="11" fillId="8" borderId="2" xfId="0" applyFont="true" applyBorder="true" applyAlignment="true" applyProtection="true">
      <alignment horizontal="center" vertical="center" textRotation="0" wrapText="false" indent="0" shrinkToFit="false"/>
      <protection locked="true" hidden="false"/>
    </xf>
    <xf numFmtId="164" fontId="10" fillId="9" borderId="0" xfId="0" applyFont="true" applyBorder="true" applyAlignment="true" applyProtection="true">
      <alignment horizontal="general" vertical="center" textRotation="0" wrapText="false" indent="0" shrinkToFit="false"/>
      <protection locked="true" hidden="false"/>
    </xf>
    <xf numFmtId="164" fontId="10" fillId="2" borderId="3" xfId="0" applyFont="true" applyBorder="true" applyAlignment="true" applyProtection="true">
      <alignment horizontal="center" vertical="center" textRotation="0" wrapText="true" indent="0" shrinkToFit="false"/>
      <protection locked="true" hidden="false"/>
    </xf>
    <xf numFmtId="164" fontId="10" fillId="2" borderId="4" xfId="0" applyFont="true" applyBorder="true" applyAlignment="true" applyProtection="true">
      <alignment horizontal="center" vertical="center" textRotation="0" wrapText="true" indent="0" shrinkToFit="false"/>
      <protection locked="true" hidden="false"/>
    </xf>
    <xf numFmtId="164" fontId="10" fillId="2" borderId="5" xfId="0" applyFont="true" applyBorder="true" applyAlignment="true" applyProtection="true">
      <alignment horizontal="center" vertical="center" textRotation="0" wrapText="true" indent="0" shrinkToFit="false"/>
      <protection locked="true" hidden="false"/>
    </xf>
    <xf numFmtId="164" fontId="12" fillId="4" borderId="2" xfId="0" applyFont="true" applyBorder="true" applyAlignment="true" applyProtection="true">
      <alignment horizontal="general" vertical="top" textRotation="0" wrapText="true" indent="0" shrinkToFit="false"/>
      <protection locked="true" hidden="false"/>
    </xf>
    <xf numFmtId="164" fontId="0" fillId="0" borderId="6" xfId="0" applyFont="false" applyBorder="true" applyAlignment="false" applyProtection="true">
      <alignment horizontal="general" vertical="bottom" textRotation="0" wrapText="false" indent="0" shrinkToFit="false"/>
      <protection locked="true" hidden="false"/>
    </xf>
    <xf numFmtId="165" fontId="0" fillId="0" borderId="6" xfId="0" applyFont="false" applyBorder="true" applyAlignment="false" applyProtection="true">
      <alignment horizontal="general" vertical="bottom" textRotation="0" wrapText="false" indent="0" shrinkToFit="false"/>
      <protection locked="true" hidden="false"/>
    </xf>
    <xf numFmtId="166" fontId="0" fillId="0" borderId="6" xfId="0" applyFont="false" applyBorder="true" applyAlignment="false" applyProtection="true">
      <alignment horizontal="general" vertical="bottom" textRotation="0" wrapText="false" indent="0" shrinkToFit="false"/>
      <protection locked="true" hidden="false"/>
    </xf>
    <xf numFmtId="164" fontId="0" fillId="0" borderId="7" xfId="0" applyFont="false" applyBorder="true" applyAlignment="false" applyProtection="true">
      <alignment horizontal="general" vertical="bottom" textRotation="0" wrapText="false" indent="0" shrinkToFit="false"/>
      <protection locked="true" hidden="false"/>
    </xf>
    <xf numFmtId="165" fontId="0" fillId="0" borderId="7" xfId="0" applyFont="false" applyBorder="true" applyAlignment="false" applyProtection="true">
      <alignment horizontal="general" vertical="bottom" textRotation="0" wrapText="false" indent="0" shrinkToFit="false"/>
      <protection locked="true" hidden="false"/>
    </xf>
    <xf numFmtId="166" fontId="0" fillId="0" borderId="7" xfId="0" applyFont="false" applyBorder="true" applyAlignment="false" applyProtection="true">
      <alignment horizontal="general" vertical="bottom" textRotation="0" wrapText="false" indent="0" shrinkToFit="false"/>
      <protection locked="true" hidden="false"/>
    </xf>
    <xf numFmtId="164" fontId="13" fillId="4" borderId="8" xfId="0" applyFont="true" applyBorder="true" applyAlignment="false" applyProtection="true">
      <alignment horizontal="general" vertical="bottom" textRotation="0" wrapText="false" indent="0" shrinkToFit="false"/>
      <protection locked="true" hidden="false"/>
    </xf>
    <xf numFmtId="165" fontId="13" fillId="4" borderId="7" xfId="0" applyFont="true" applyBorder="true" applyAlignment="false" applyProtection="true">
      <alignment horizontal="general" vertical="bottom" textRotation="0" wrapText="false" indent="0" shrinkToFit="false"/>
      <protection locked="true" hidden="false"/>
    </xf>
    <xf numFmtId="166" fontId="13" fillId="4" borderId="9" xfId="0" applyFont="true" applyBorder="true" applyAlignment="false" applyProtection="true">
      <alignment horizontal="general" vertical="bottom" textRotation="0" wrapText="false" indent="0" shrinkToFit="false"/>
      <protection locked="true" hidden="false"/>
    </xf>
    <xf numFmtId="167" fontId="0" fillId="0" borderId="0" xfId="0" applyFont="false" applyBorder="fals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66" fontId="0" fillId="0" borderId="0" xfId="0" applyFont="false" applyBorder="false" applyAlignment="false" applyProtection="true">
      <alignment horizontal="general" vertical="bottom" textRotation="0" wrapText="false" indent="0" shrinkToFit="false"/>
      <protection locked="true" hidden="false"/>
    </xf>
    <xf numFmtId="164" fontId="14" fillId="0" borderId="0" xfId="0" applyFont="true" applyBorder="false" applyAlignment="false" applyProtection="true">
      <alignment horizontal="general" vertical="bottom" textRotation="0" wrapText="false" indent="0" shrinkToFit="false"/>
      <protection locked="true" hidden="false"/>
    </xf>
    <xf numFmtId="167" fontId="14" fillId="0" borderId="0" xfId="0" applyFont="true" applyBorder="false" applyAlignment="false" applyProtection="true">
      <alignment horizontal="general" vertical="bottom" textRotation="0" wrapText="false" indent="0" shrinkToFit="false"/>
      <protection locked="true" hidden="false"/>
    </xf>
    <xf numFmtId="165" fontId="14" fillId="0" borderId="0" xfId="0" applyFont="true" applyBorder="false" applyAlignment="false" applyProtection="true">
      <alignment horizontal="general" vertical="bottom" textRotation="0" wrapText="false" indent="0" shrinkToFit="false"/>
      <protection locked="true" hidden="false"/>
    </xf>
    <xf numFmtId="164" fontId="13" fillId="4" borderId="9" xfId="0" applyFont="true" applyBorder="true" applyAlignment="false" applyProtection="tru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fals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64" fontId="10" fillId="2" borderId="5"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13" fillId="4" borderId="8" xfId="0" applyFont="true" applyBorder="true" applyAlignment="false" applyProtection="false">
      <alignment horizontal="general" vertical="bottom" textRotation="0" wrapText="false" indent="0" shrinkToFit="false"/>
      <protection locked="true" hidden="false"/>
    </xf>
    <xf numFmtId="165" fontId="13" fillId="4" borderId="7" xfId="0" applyFont="true" applyBorder="true" applyAlignment="false" applyProtection="false">
      <alignment horizontal="general" vertical="bottom" textRotation="0" wrapText="false" indent="0" shrinkToFit="false"/>
      <protection locked="true" hidden="false"/>
    </xf>
    <xf numFmtId="164" fontId="13" fillId="4" borderId="7" xfId="0" applyFont="true" applyBorder="true" applyAlignment="false" applyProtection="false">
      <alignment horizontal="general" vertical="bottom" textRotation="0" wrapText="false" indent="0" shrinkToFit="false"/>
      <protection locked="true" hidden="false"/>
    </xf>
    <xf numFmtId="164" fontId="13" fillId="4" borderId="9"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7324D"/>
          <bgColor rgb="FF000000"/>
        </patternFill>
      </fill>
    </dxf>
    <dxf>
      <fill>
        <patternFill patternType="solid">
          <bgColor rgb="FF000000"/>
        </patternFill>
      </fill>
    </dxf>
    <dxf>
      <fill>
        <patternFill patternType="solid">
          <fgColor rgb="FFFFFFFF"/>
          <bgColor rgb="FF000000"/>
        </patternFill>
      </fill>
    </dxf>
    <dxf>
      <fill>
        <patternFill patternType="solid">
          <fgColor rgb="FFECFDF3"/>
          <bgColor rgb="FF000000"/>
        </patternFill>
      </fill>
    </dxf>
    <dxf>
      <fill>
        <patternFill patternType="solid">
          <fgColor rgb="FFFDECEC"/>
          <bgColor rgb="FF000000"/>
        </patternFill>
      </fill>
    </dxf>
    <dxf>
      <fill>
        <patternFill patternType="solid">
          <fgColor rgb="FF166534"/>
          <bgColor rgb="FF000000"/>
        </patternFill>
      </fill>
    </dxf>
    <dxf>
      <fill>
        <patternFill patternType="solid">
          <fgColor rgb="FFB91C1C"/>
          <bgColor rgb="FF000000"/>
        </patternFill>
      </fill>
    </dxf>
    <dxf>
      <fill>
        <patternFill patternType="solid">
          <fgColor rgb="FFE7F4F1"/>
          <bgColor rgb="FF000000"/>
        </patternFill>
      </fill>
    </dxf>
    <dxf>
      <fill>
        <patternFill patternType="solid">
          <fgColor rgb="FFFFF4D6"/>
          <bgColor rgb="FF000000"/>
        </patternFill>
      </fill>
    </dxf>
    <dxf>
      <fill>
        <patternFill patternType="solid">
          <fgColor rgb="FF0F766E"/>
          <bgColor rgb="FF000000"/>
        </patternFill>
      </fill>
    </dxf>
    <dxf>
      <fill>
        <patternFill patternType="solid">
          <fgColor rgb="FF8A5A00"/>
          <bgColor rgb="FF000000"/>
        </patternFill>
      </fill>
    </dxf>
    <dxf>
      <font>
        <b val="1"/>
        <color rgb="FFB91C1C"/>
      </font>
      <fill>
        <patternFill>
          <bgColor rgb="FFFDECEC"/>
        </patternFill>
      </fill>
    </dxf>
    <dxf>
      <font>
        <color rgb="FF166534"/>
      </font>
      <fill>
        <patternFill>
          <bgColor rgb="FFECFDF3"/>
        </patternFill>
      </fill>
    </dxf>
    <dxf>
      <font>
        <color rgb="FF0F766E"/>
      </font>
      <fill>
        <patternFill>
          <bgColor rgb="FFE7F4F1"/>
        </patternFill>
      </fill>
    </dxf>
    <dxf>
      <font>
        <b val="1"/>
        <color rgb="FF8A5A00"/>
      </font>
      <fill>
        <patternFill>
          <bgColor rgb="FFFFF4D6"/>
        </patternFill>
      </fill>
    </dxf>
    <dxf>
      <font>
        <b val="1"/>
        <color rgb="FFB91C1C"/>
      </font>
      <fill>
        <patternFill>
          <bgColor rgb="FFFDECEC"/>
        </patternFill>
      </fill>
    </dxf>
    <dxf>
      <fill>
        <patternFill patternType="solid">
          <fgColor rgb="FF0000FF"/>
          <bgColor rgb="FF000000"/>
        </patternFill>
      </fill>
    </dxf>
    <dxf>
      <font>
        <b val="1"/>
        <color rgb="FF0F766E"/>
      </font>
      <fill>
        <patternFill>
          <bgColor rgb="FFE7F4F1"/>
        </patternFill>
      </fill>
    </dxf>
    <dxf>
      <font>
        <b val="1"/>
        <color rgb="FFB91C1C"/>
      </font>
      <fill>
        <patternFill>
          <bgColor rgb="FFFDECEC"/>
        </patternFill>
      </fill>
    </dxf>
    <dxf>
      <font>
        <color rgb="FF0F766E"/>
      </font>
      <fill>
        <patternFill>
          <bgColor rgb="FFE7F4F1"/>
        </patternFill>
      </fill>
    </dxf>
    <dxf>
      <font>
        <color rgb="FF8A5A00"/>
      </font>
      <fill>
        <patternFill>
          <bgColor rgb="FFFFF4D6"/>
        </patternFill>
      </fill>
    </dxf>
  </dxfs>
  <colors>
    <indexedColors>
      <rgbColor rgb="FF000000"/>
      <rgbColor rgb="FFFFFFFF"/>
      <rgbColor rgb="FFFF0000"/>
      <rgbColor rgb="FF00FF00"/>
      <rgbColor rgb="FF0000FF"/>
      <rgbColor rgb="FFFFFF00"/>
      <rgbColor rgb="FFFF00FF"/>
      <rgbColor rgb="FF00FFFF"/>
      <rgbColor rgb="FF800000"/>
      <rgbColor rgb="FF166534"/>
      <rgbColor rgb="FF000080"/>
      <rgbColor rgb="FF8A5A00"/>
      <rgbColor rgb="FF800080"/>
      <rgbColor rgb="FF0F766E"/>
      <rgbColor rgb="FFC0C0C0"/>
      <rgbColor rgb="FF808080"/>
      <rgbColor rgb="FF9999FF"/>
      <rgbColor rgb="FF993366"/>
      <rgbColor rgb="FFFFF4D6"/>
      <rgbColor rgb="FFE7F4F1"/>
      <rgbColor rgb="FF660066"/>
      <rgbColor rgb="FFFF8080"/>
      <rgbColor rgb="FF0066CC"/>
      <rgbColor rgb="FFD5DEE7"/>
      <rgbColor rgb="FF000080"/>
      <rgbColor rgb="FFFF00FF"/>
      <rgbColor rgb="FFFFFF00"/>
      <rgbColor rgb="FF00FFFF"/>
      <rgbColor rgb="FF800080"/>
      <rgbColor rgb="FF800000"/>
      <rgbColor rgb="FF008080"/>
      <rgbColor rgb="FF0000FF"/>
      <rgbColor rgb="FF00CCFF"/>
      <rgbColor rgb="FFECFDF3"/>
      <rgbColor rgb="FFEAF2F8"/>
      <rgbColor rgb="FFFDECEC"/>
      <rgbColor rgb="FF99CCFF"/>
      <rgbColor rgb="FFFF99CC"/>
      <rgbColor rgb="FFCC99FF"/>
      <rgbColor rgb="FFFFCC99"/>
      <rgbColor rgb="FF3366FF"/>
      <rgbColor rgb="FF33CCCC"/>
      <rgbColor rgb="FF99CC00"/>
      <rgbColor rgb="FFFFCC00"/>
      <rgbColor rgb="FFD9A441"/>
      <rgbColor rgb="FFFF6600"/>
      <rgbColor rgb="FF667085"/>
      <rgbColor rgb="FF969696"/>
      <rgbColor rgb="FF17324D"/>
      <rgbColor rgb="FF339966"/>
      <rgbColor rgb="FF003300"/>
      <rgbColor rgb="FF333300"/>
      <rgbColor rgb="FFB91C1C"/>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DailyProfitabilityTable" displayName="DailyProfitabilityTable" ref="A16:J78" headerRowCount="1" totalsRowCount="0" totalsRowShown="0">
  <autoFilter ref="A16:J78"/>
  <tableColumns count="10">
    <tableColumn id="1" name="Date"/>
    <tableColumn id="2" name="Walk-in Income"/>
    <tableColumn id="3" name="Colonie Income"/>
    <tableColumn id="4" name="Birthday Income"/>
    <tableColumn id="5" name="Total Income"/>
    <tableColumn id="6" name="Expenses"/>
    <tableColumn id="7" name="Revenue"/>
    <tableColumn id="8" name="Net Benefit"/>
    <tableColumn id="9" name="Net Margin"/>
    <tableColumn id="10" name="Source Status"/>
  </tableColumns>
</table>
</file>

<file path=xl/tables/table2.xml><?xml version="1.0" encoding="utf-8"?>
<table xmlns="http://schemas.openxmlformats.org/spreadsheetml/2006/main" id="2" name="ExpenseSourceTable" displayName="ExpenseSourceTable" ref="A4:U178" headerRowCount="1" totalsRowCount="0" totalsRowShown="0">
  <autoFilter ref="A4:U178"/>
  <tableColumns count="21">
    <tableColumn id="1" name="Expense ID"/>
    <tableColumn id="2" name="Source Bill Key"/>
    <tableColumn id="3" name="Source Invoice No."/>
    <tableColumn id="4" name="Date"/>
    <tableColumn id="5" name="Month"/>
    <tableColumn id="6" name="Activity Tags"/>
    <tableColumn id="7" name="Activity Detail"/>
    <tableColumn id="8" name="Source Category"/>
    <tableColumn id="9" name="Expense Category"/>
    <tableColumn id="10" name="Expense Type"/>
    <tableColumn id="11" name="Supplier"/>
    <tableColumn id="12" name="Description"/>
    <tableColumn id="13" name="Amount USD"/>
    <tableColumn id="14" name="Amount LBP"/>
    <tableColumn id="15" name="Effective FX"/>
    <tableColumn id="16" name="Source Sheet"/>
    <tableColumn id="17" name="Source Rows"/>
    <tableColumn id="18" name="Review Flag"/>
    <tableColumn id="19" name="Selected Flag"/>
    <tableColumn id="20" name="Selected Bill Flag"/>
    <tableColumn id="21" name="Profitability Flag"/>
  </tableColumns>
</table>
</file>

<file path=xl/tables/table3.xml><?xml version="1.0" encoding="utf-8"?>
<table xmlns="http://schemas.openxmlformats.org/spreadsheetml/2006/main" id="3" name="IncomeSourceTable" displayName="IncomeSourceTable" ref="A4:H65" headerRowCount="1" totalsRowCount="0" totalsRowShown="0">
  <autoFilter ref="A4:H65"/>
  <tableColumns count="8">
    <tableColumn id="1" name="Source Sheet"/>
    <tableColumn id="2" name="Date"/>
    <tableColumn id="3" name="Walk-in"/>
    <tableColumn id="4" name="Colonie"/>
    <tableColumn id="5" name="Birthday"/>
    <tableColumn id="6" name="Source Daily Expenses"/>
    <tableColumn id="7" name="Source Revenue"/>
    <tableColumn id="8" name="Source Check"/>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H3" activeCellId="0" sqref="H3"/>
    </sheetView>
  </sheetViews>
  <sheetFormatPr defaultColWidth="9.00390625" defaultRowHeight="15" customHeight="false" zeroHeight="false" outlineLevelRow="0" outlineLevelCol="0"/>
  <cols>
    <col collapsed="false" customWidth="true" hidden="false" outlineLevel="0" max="1" min="1" style="1" width="15"/>
    <col collapsed="false" customWidth="true" hidden="false" outlineLevel="0" max="4" min="2" style="1" width="17"/>
    <col collapsed="false" customWidth="true" hidden="false" outlineLevel="0" max="8" min="5" style="1" width="16"/>
    <col collapsed="false" customWidth="true" hidden="false" outlineLevel="0" max="9" min="9" style="1" width="13"/>
    <col collapsed="false" customWidth="true" hidden="false" outlineLevel="0" max="10" min="10" style="1" width="26"/>
    <col collapsed="false" customWidth="true" hidden="false" outlineLevel="0" max="13" min="11" style="1" width="16"/>
    <col collapsed="false" customWidth="true" hidden="false" outlineLevel="0" max="14" min="14" style="1" width="26"/>
    <col collapsed="false" customWidth="true" hidden="false" outlineLevel="0" max="17" min="15" style="1" width="16"/>
    <col collapsed="false" customWidth="false" hidden="false" outlineLevel="0" max="23" min="18" style="1" width="9"/>
    <col collapsed="false" customWidth="true" hidden="false" outlineLevel="0" max="29" min="24" style="1" width="2"/>
    <col collapsed="false" customWidth="false" hidden="false" outlineLevel="0" max="16384" min="30" style="1" width="9"/>
  </cols>
  <sheetData>
    <row r="1" customFormat="false" ht="30" hidden="false" customHeight="true" outlineLevel="0" collapsed="false">
      <c r="A1" s="2" t="s">
        <v>0</v>
      </c>
      <c r="B1" s="2"/>
      <c r="C1" s="2"/>
      <c r="D1" s="2"/>
      <c r="E1" s="2"/>
      <c r="F1" s="2"/>
      <c r="G1" s="2"/>
      <c r="H1" s="2"/>
      <c r="I1" s="2"/>
      <c r="J1" s="2"/>
      <c r="K1" s="2"/>
      <c r="L1" s="2"/>
      <c r="M1" s="2"/>
      <c r="N1" s="2"/>
      <c r="O1" s="2"/>
      <c r="P1" s="2"/>
      <c r="Q1" s="2"/>
      <c r="X1" s="3" t="s">
        <v>1</v>
      </c>
      <c r="Y1" s="3" t="s">
        <v>2</v>
      </c>
      <c r="Z1" s="3" t="s">
        <v>3</v>
      </c>
      <c r="AA1" s="3" t="s">
        <v>4</v>
      </c>
      <c r="AB1" s="3" t="s">
        <v>5</v>
      </c>
      <c r="AC1" s="3" t="s">
        <v>6</v>
      </c>
    </row>
    <row r="2" customFormat="false" ht="24" hidden="false" customHeight="true" outlineLevel="0" collapsed="false">
      <c r="A2" s="4"/>
      <c r="B2" s="4"/>
      <c r="C2" s="4"/>
      <c r="D2" s="4"/>
      <c r="E2" s="4"/>
      <c r="F2" s="4"/>
      <c r="G2" s="4"/>
      <c r="H2" s="4"/>
      <c r="I2" s="4"/>
      <c r="J2" s="4"/>
      <c r="K2" s="4"/>
      <c r="L2" s="4"/>
      <c r="M2" s="4"/>
      <c r="N2" s="4"/>
      <c r="O2" s="4"/>
      <c r="P2" s="4"/>
      <c r="Q2" s="4"/>
      <c r="X2" s="3" t="s">
        <v>7</v>
      </c>
      <c r="Y2" s="3" t="s">
        <v>7</v>
      </c>
      <c r="Z2" s="3" t="s">
        <v>7</v>
      </c>
      <c r="AA2" s="3" t="s">
        <v>7</v>
      </c>
      <c r="AB2" s="3" t="s">
        <v>7</v>
      </c>
      <c r="AC2" s="3" t="s">
        <v>7</v>
      </c>
    </row>
    <row r="3" customFormat="false" ht="25.5" hidden="false" customHeight="true" outlineLevel="0" collapsed="false">
      <c r="A3" s="5" t="s">
        <v>8</v>
      </c>
      <c r="B3" s="6" t="s">
        <v>7</v>
      </c>
      <c r="C3" s="7"/>
      <c r="D3" s="5" t="s">
        <v>9</v>
      </c>
      <c r="E3" s="6" t="s">
        <v>7</v>
      </c>
      <c r="F3" s="7"/>
      <c r="G3" s="5" t="s">
        <v>10</v>
      </c>
      <c r="H3" s="6" t="s">
        <v>11</v>
      </c>
      <c r="I3" s="7"/>
      <c r="J3" s="5" t="s">
        <v>12</v>
      </c>
      <c r="K3" s="6" t="s">
        <v>7</v>
      </c>
      <c r="L3" s="7"/>
      <c r="M3" s="5" t="s">
        <v>13</v>
      </c>
      <c r="N3" s="6" t="s">
        <v>7</v>
      </c>
      <c r="O3" s="7"/>
      <c r="P3" s="5" t="s">
        <v>14</v>
      </c>
      <c r="Q3" s="6" t="s">
        <v>7</v>
      </c>
      <c r="X3" s="3" t="s">
        <v>15</v>
      </c>
      <c r="Y3" s="3" t="s">
        <v>16</v>
      </c>
      <c r="Z3" s="3" t="s">
        <v>17</v>
      </c>
      <c r="AA3" s="3" t="s">
        <v>18</v>
      </c>
      <c r="AB3" s="3" t="s">
        <v>19</v>
      </c>
      <c r="AC3" s="3" t="s">
        <v>20</v>
      </c>
    </row>
    <row r="4" customFormat="false" ht="22.5" hidden="false" customHeight="true" outlineLevel="0" collapsed="false">
      <c r="A4" s="8" t="s">
        <v>21</v>
      </c>
      <c r="B4" s="8"/>
      <c r="C4" s="8" t="s">
        <v>22</v>
      </c>
      <c r="D4" s="8"/>
      <c r="E4" s="8" t="s">
        <v>23</v>
      </c>
      <c r="F4" s="8"/>
      <c r="G4" s="8" t="s">
        <v>24</v>
      </c>
      <c r="H4" s="8"/>
      <c r="I4" s="8" t="s">
        <v>25</v>
      </c>
      <c r="J4" s="8"/>
      <c r="X4" s="3" t="s">
        <v>26</v>
      </c>
      <c r="Y4" s="3" t="s">
        <v>27</v>
      </c>
      <c r="Z4" s="3" t="s">
        <v>28</v>
      </c>
      <c r="AA4" s="3" t="s">
        <v>29</v>
      </c>
      <c r="AB4" s="3" t="s">
        <v>30</v>
      </c>
      <c r="AC4" s="3" t="s">
        <v>31</v>
      </c>
    </row>
    <row r="5" customFormat="false" ht="24.75" hidden="false" customHeight="true" outlineLevel="0" collapsed="false">
      <c r="A5" s="9" t="n">
        <f aca="false">B13</f>
        <v>32749</v>
      </c>
      <c r="B5" s="9"/>
      <c r="C5" s="10" t="n">
        <f aca="false">C13</f>
        <v>6652.6782641704</v>
      </c>
      <c r="D5" s="10"/>
      <c r="E5" s="11" t="n">
        <f aca="false">D13</f>
        <v>32749</v>
      </c>
      <c r="F5" s="11"/>
      <c r="G5" s="12" t="n">
        <f aca="false">E13</f>
        <v>26096.3217358296</v>
      </c>
      <c r="H5" s="12"/>
      <c r="I5" s="13" t="n">
        <f aca="false">F13</f>
        <v>0.7968585830355</v>
      </c>
      <c r="J5" s="13"/>
      <c r="X5" s="3"/>
      <c r="Y5" s="3" t="s">
        <v>32</v>
      </c>
      <c r="Z5" s="3" t="s">
        <v>33</v>
      </c>
      <c r="AA5" s="3" t="s">
        <v>34</v>
      </c>
      <c r="AB5" s="3" t="s">
        <v>35</v>
      </c>
      <c r="AC5" s="3" t="s">
        <v>16</v>
      </c>
    </row>
    <row r="6" customFormat="false" ht="24.75" hidden="false" customHeight="true" outlineLevel="0" collapsed="false">
      <c r="A6" s="9"/>
      <c r="B6" s="9"/>
      <c r="C6" s="10"/>
      <c r="D6" s="10"/>
      <c r="E6" s="11"/>
      <c r="F6" s="11"/>
      <c r="G6" s="12"/>
      <c r="H6" s="12"/>
      <c r="I6" s="13"/>
      <c r="J6" s="13"/>
      <c r="X6" s="3"/>
      <c r="Y6" s="3" t="s">
        <v>36</v>
      </c>
      <c r="Z6" s="3" t="s">
        <v>11</v>
      </c>
      <c r="AA6" s="3" t="s">
        <v>11</v>
      </c>
      <c r="AB6" s="3" t="s">
        <v>37</v>
      </c>
      <c r="AC6" s="3"/>
    </row>
    <row r="7" customFormat="false" ht="15" hidden="false" customHeight="false" outlineLevel="0" collapsed="false">
      <c r="X7" s="3"/>
      <c r="Y7" s="3" t="s">
        <v>38</v>
      </c>
      <c r="Z7" s="3" t="s">
        <v>39</v>
      </c>
      <c r="AA7" s="3" t="s">
        <v>40</v>
      </c>
      <c r="AB7" s="3" t="s">
        <v>41</v>
      </c>
      <c r="AC7" s="3"/>
    </row>
    <row r="8" customFormat="false" ht="15" hidden="false" customHeight="false" outlineLevel="0" collapsed="false">
      <c r="X8" s="3"/>
      <c r="Y8" s="3" t="s">
        <v>20</v>
      </c>
      <c r="Z8" s="3" t="s">
        <v>42</v>
      </c>
      <c r="AA8" s="3" t="s">
        <v>43</v>
      </c>
      <c r="AB8" s="3" t="s">
        <v>44</v>
      </c>
      <c r="AC8" s="3"/>
    </row>
    <row r="9" customFormat="false" ht="15" hidden="false" customHeight="false" outlineLevel="0" collapsed="false">
      <c r="A9" s="14" t="s">
        <v>45</v>
      </c>
      <c r="B9" s="14"/>
      <c r="C9" s="14"/>
      <c r="D9" s="14"/>
      <c r="E9" s="14"/>
      <c r="F9" s="14"/>
      <c r="G9" s="14" t="s">
        <v>46</v>
      </c>
      <c r="H9" s="14"/>
      <c r="I9" s="14"/>
      <c r="J9" s="14"/>
      <c r="K9" s="14"/>
      <c r="L9" s="14"/>
      <c r="M9" s="14"/>
      <c r="N9" s="14"/>
      <c r="O9" s="14"/>
      <c r="P9" s="14"/>
      <c r="Q9" s="14"/>
      <c r="X9" s="3"/>
      <c r="Y9" s="3" t="s">
        <v>47</v>
      </c>
      <c r="Z9" s="3" t="s">
        <v>48</v>
      </c>
      <c r="AA9" s="3" t="s">
        <v>49</v>
      </c>
      <c r="AB9" s="3" t="s">
        <v>50</v>
      </c>
      <c r="AC9" s="3"/>
    </row>
    <row r="10" customFormat="false" ht="27.75" hidden="false" customHeight="true" outlineLevel="0" collapsed="false">
      <c r="A10" s="15" t="s">
        <v>8</v>
      </c>
      <c r="B10" s="16" t="s">
        <v>21</v>
      </c>
      <c r="C10" s="16" t="s">
        <v>22</v>
      </c>
      <c r="D10" s="16" t="s">
        <v>23</v>
      </c>
      <c r="E10" s="16" t="s">
        <v>24</v>
      </c>
      <c r="F10" s="17" t="s">
        <v>25</v>
      </c>
      <c r="G10" s="18" t="s">
        <v>51</v>
      </c>
      <c r="H10" s="18"/>
      <c r="I10" s="18"/>
      <c r="J10" s="18"/>
      <c r="K10" s="18"/>
      <c r="L10" s="18"/>
      <c r="M10" s="18"/>
      <c r="N10" s="18"/>
      <c r="O10" s="18"/>
      <c r="P10" s="18"/>
      <c r="Q10" s="18"/>
      <c r="X10" s="3"/>
      <c r="Y10" s="3"/>
      <c r="Z10" s="3" t="s">
        <v>52</v>
      </c>
      <c r="AA10" s="3" t="s">
        <v>53</v>
      </c>
      <c r="AB10" s="3" t="s">
        <v>54</v>
      </c>
      <c r="AC10" s="3"/>
    </row>
    <row r="11" customFormat="false" ht="15" hidden="false" customHeight="false" outlineLevel="0" collapsed="false">
      <c r="A11" s="19" t="str">
        <f aca="false">IF($B$3="All","July 2026",$B$3)</f>
        <v>July 2026</v>
      </c>
      <c r="B11" s="20" t="n">
        <f aca="false">SUM(E17:E47)</f>
        <v>19095</v>
      </c>
      <c r="C11" s="20" t="n">
        <f aca="false">SUM(F17:F47)</f>
        <v>4921.8149887734</v>
      </c>
      <c r="D11" s="20" t="n">
        <f aca="false">SUM(G17:G47)</f>
        <v>19095</v>
      </c>
      <c r="E11" s="20" t="n">
        <f aca="false">D11-C11</f>
        <v>14173.1850112266</v>
      </c>
      <c r="F11" s="21" t="n">
        <f aca="false">IFERROR(E11/D11,0)</f>
        <v>0.742245876471673</v>
      </c>
      <c r="G11" s="18"/>
      <c r="H11" s="18"/>
      <c r="I11" s="18"/>
      <c r="J11" s="18"/>
      <c r="K11" s="18"/>
      <c r="L11" s="18"/>
      <c r="M11" s="18"/>
      <c r="N11" s="18"/>
      <c r="O11" s="18"/>
      <c r="P11" s="18"/>
      <c r="Q11" s="18"/>
      <c r="X11" s="3"/>
      <c r="Y11" s="3"/>
      <c r="Z11" s="3" t="s">
        <v>55</v>
      </c>
      <c r="AA11" s="3" t="s">
        <v>56</v>
      </c>
      <c r="AB11" s="3" t="s">
        <v>57</v>
      </c>
      <c r="AC11" s="3"/>
    </row>
    <row r="12" customFormat="false" ht="15" hidden="false" customHeight="false" outlineLevel="0" collapsed="false">
      <c r="A12" s="22" t="str">
        <f aca="false">IF($B$3="All","August 2026","")</f>
        <v>August 2026</v>
      </c>
      <c r="B12" s="23" t="n">
        <f aca="false">IF($B$3="All",SUM(E48:E78),"")</f>
        <v>13654</v>
      </c>
      <c r="C12" s="23" t="n">
        <f aca="false">IF($B$3="All",SUM(F48:F78),"")</f>
        <v>1730.863275397</v>
      </c>
      <c r="D12" s="23" t="n">
        <f aca="false">IF($B$3="All",SUM(G48:G78),"")</f>
        <v>13654</v>
      </c>
      <c r="E12" s="23" t="n">
        <f aca="false">IF(A12="","",D12-C12)</f>
        <v>11923.136724603</v>
      </c>
      <c r="F12" s="24" t="n">
        <f aca="false">IF(A12="","",IFERROR(E12/D12,0))</f>
        <v>0.873233977193716</v>
      </c>
      <c r="G12" s="18"/>
      <c r="H12" s="18"/>
      <c r="I12" s="18"/>
      <c r="J12" s="18"/>
      <c r="K12" s="18"/>
      <c r="L12" s="18"/>
      <c r="M12" s="18"/>
      <c r="N12" s="18"/>
      <c r="O12" s="18"/>
      <c r="P12" s="18"/>
      <c r="Q12" s="18"/>
      <c r="X12" s="3"/>
      <c r="Y12" s="3"/>
      <c r="Z12" s="3"/>
      <c r="AA12" s="3" t="s">
        <v>58</v>
      </c>
      <c r="AB12" s="3" t="s">
        <v>59</v>
      </c>
      <c r="AC12" s="3"/>
    </row>
    <row r="13" customFormat="false" ht="15" hidden="false" customHeight="false" outlineLevel="0" collapsed="false">
      <c r="A13" s="25" t="s">
        <v>60</v>
      </c>
      <c r="B13" s="26" t="n">
        <f aca="false">SUM(B11:B12)</f>
        <v>32749</v>
      </c>
      <c r="C13" s="26" t="n">
        <f aca="false">SUM(C11:C12)</f>
        <v>6652.6782641704</v>
      </c>
      <c r="D13" s="26" t="n">
        <f aca="false">SUM(D11:D12)</f>
        <v>32749</v>
      </c>
      <c r="E13" s="26" t="n">
        <f aca="false">SUM(E11:E12)</f>
        <v>26096.3217358296</v>
      </c>
      <c r="F13" s="27" t="n">
        <f aca="false">IFERROR(E13/D13,0)</f>
        <v>0.7968585830355</v>
      </c>
      <c r="G13" s="18"/>
      <c r="H13" s="18"/>
      <c r="I13" s="18"/>
      <c r="J13" s="18"/>
      <c r="K13" s="18"/>
      <c r="L13" s="18"/>
      <c r="M13" s="18"/>
      <c r="N13" s="18"/>
      <c r="O13" s="18"/>
      <c r="P13" s="18"/>
      <c r="Q13" s="18"/>
      <c r="X13" s="3"/>
      <c r="Y13" s="3"/>
      <c r="Z13" s="3"/>
      <c r="AA13" s="3" t="s">
        <v>61</v>
      </c>
      <c r="AB13" s="3" t="s">
        <v>62</v>
      </c>
      <c r="AC13" s="3"/>
    </row>
    <row r="14" customFormat="false" ht="15" hidden="false" customHeight="false" outlineLevel="0" collapsed="false">
      <c r="X14" s="3"/>
      <c r="Y14" s="3"/>
      <c r="Z14" s="3"/>
      <c r="AA14" s="3" t="s">
        <v>63</v>
      </c>
      <c r="AB14" s="3" t="s">
        <v>64</v>
      </c>
      <c r="AC14" s="3"/>
    </row>
    <row r="15" customFormat="false" ht="15" hidden="false" customHeight="false" outlineLevel="0" collapsed="false">
      <c r="A15" s="14" t="s">
        <v>65</v>
      </c>
      <c r="B15" s="14"/>
      <c r="C15" s="14"/>
      <c r="D15" s="14"/>
      <c r="E15" s="14"/>
      <c r="F15" s="14"/>
      <c r="G15" s="14"/>
      <c r="H15" s="14"/>
      <c r="I15" s="14"/>
      <c r="J15" s="14"/>
      <c r="X15" s="3"/>
      <c r="Y15" s="3"/>
      <c r="Z15" s="3"/>
      <c r="AA15" s="3"/>
      <c r="AB15" s="3" t="s">
        <v>66</v>
      </c>
      <c r="AC15" s="3"/>
    </row>
    <row r="16" customFormat="false" ht="31.5" hidden="false" customHeight="true" outlineLevel="0" collapsed="false">
      <c r="A16" s="15" t="s">
        <v>67</v>
      </c>
      <c r="B16" s="16" t="s">
        <v>68</v>
      </c>
      <c r="C16" s="16" t="s">
        <v>69</v>
      </c>
      <c r="D16" s="16" t="s">
        <v>70</v>
      </c>
      <c r="E16" s="16" t="s">
        <v>21</v>
      </c>
      <c r="F16" s="16" t="s">
        <v>22</v>
      </c>
      <c r="G16" s="16" t="s">
        <v>23</v>
      </c>
      <c r="H16" s="16" t="s">
        <v>24</v>
      </c>
      <c r="I16" s="16" t="s">
        <v>25</v>
      </c>
      <c r="J16" s="17" t="s">
        <v>71</v>
      </c>
      <c r="X16" s="3"/>
      <c r="Y16" s="3"/>
      <c r="Z16" s="3"/>
      <c r="AA16" s="3"/>
      <c r="AB16" s="3" t="s">
        <v>72</v>
      </c>
      <c r="AC16" s="3"/>
    </row>
    <row r="17" customFormat="false" ht="15" hidden="false" customHeight="false" outlineLevel="0" collapsed="false">
      <c r="A17" s="28" t="n">
        <f aca="false">IF($B$3="All",46204,IF(0&lt;31,IF($B$3="July 2026",46204,46235)+0,""))</f>
        <v>46204</v>
      </c>
      <c r="B17" s="29" t="str">
        <f aca="false">IF(A17="","",IF(COUNTIFS('Income Source'!$B$5:$B$65,A17)=0,"",IF(OR($Q$3="All",$Q$3="Walk-in"),SUMIFS('Income Source'!$C$5:$C$65,'Income Source'!$B$5:$B$65,A17),0)))</f>
        <v/>
      </c>
      <c r="C17" s="29" t="str">
        <f aca="false">IF(A17="","",IF(COUNTIFS('Income Source'!$B$5:$B$65,A17)=0,"",IF(OR($Q$3="All",$Q$3="Colonie"),SUMIFS('Income Source'!$D$5:$D$65,'Income Source'!$B$5:$B$65,A17),0)))</f>
        <v/>
      </c>
      <c r="D17" s="29" t="str">
        <f aca="false">IF(A17="","",IF(COUNTIFS('Income Source'!$B$5:$B$65,A17)=0,"",IF(OR($Q$3="All",$Q$3="Birthday"),SUMIFS('Income Source'!$E$5:$E$65,'Income Source'!$B$5:$B$65,A17),0)))</f>
        <v/>
      </c>
      <c r="E17" s="29" t="str">
        <f aca="false">IF(A17="","",IF(COUNTIFS('Income Source'!$B$5:$B$65,A17)=0,"",SUM(B17:D17)))</f>
        <v/>
      </c>
      <c r="F17" s="29" t="n">
        <f aca="false">IF(A17="","",SUMIFS('Expense Source'!$M$5:$M$178,'Expense Source'!$D$5:$D$178,A17,'Expense Source'!$U$5:$U$178,1))</f>
        <v>0</v>
      </c>
      <c r="G17" s="29" t="str">
        <f aca="false">IF(A17="","",IF(COUNTIFS('Income Source'!$B$5:$B$65,A17)=0,"",IF($Q$3="All",SUMIFS('Income Source'!$G$5:$G$65,'Income Source'!$B$5:$B$65,A17),SUM(B17:D17))))</f>
        <v/>
      </c>
      <c r="H17" s="29" t="str">
        <f aca="false">IF(A17="","",IF(COUNTIFS('Income Source'!$B$5:$B$65,A17)=0,"",G17-F17))</f>
        <v/>
      </c>
      <c r="I17" s="30" t="str">
        <f aca="false">IF(OR(A17="",COUNTIFS('Income Source'!$B$5:$B$65,A17)=0,G17=0),"",H17/G17)</f>
        <v/>
      </c>
      <c r="J17" s="1" t="str">
        <f aca="false">IF(A17="","",IF(COUNTIFS('Income Source'!$B$5:$B$65,A17)=0,"Revenue source missing",IF(ABS(E17-G17)&gt;0.005,"Income/revenue mismatch","OK")))</f>
        <v>Revenue source missing</v>
      </c>
      <c r="X17" s="3"/>
      <c r="Y17" s="3"/>
      <c r="Z17" s="3"/>
      <c r="AA17" s="3"/>
      <c r="AB17" s="3" t="s">
        <v>43</v>
      </c>
      <c r="AC17" s="3"/>
    </row>
    <row r="18" customFormat="false" ht="15" hidden="false" customHeight="false" outlineLevel="0" collapsed="false">
      <c r="A18" s="28" t="n">
        <f aca="false">IF($B$3="All",46205,IF(1&lt;31,IF($B$3="July 2026",46204,46235)+1,""))</f>
        <v>46205</v>
      </c>
      <c r="B18" s="29" t="n">
        <f aca="false">IF(A18="","",IF(COUNTIFS('Income Source'!$B$5:$B$65,A18)=0,"",IF(OR($Q$3="All",$Q$3="Walk-in"),SUMIFS('Income Source'!$C$5:$C$65,'Income Source'!$B$5:$B$65,A18),0)))</f>
        <v>0</v>
      </c>
      <c r="C18" s="29" t="n">
        <f aca="false">IF(A18="","",IF(COUNTIFS('Income Source'!$B$5:$B$65,A18)=0,"",IF(OR($Q$3="All",$Q$3="Colonie"),SUMIFS('Income Source'!$D$5:$D$65,'Income Source'!$B$5:$B$65,A18),0)))</f>
        <v>520</v>
      </c>
      <c r="D18" s="29" t="n">
        <f aca="false">IF(A18="","",IF(COUNTIFS('Income Source'!$B$5:$B$65,A18)=0,"",IF(OR($Q$3="All",$Q$3="Birthday"),SUMIFS('Income Source'!$E$5:$E$65,'Income Source'!$B$5:$B$65,A18),0)))</f>
        <v>0</v>
      </c>
      <c r="E18" s="29" t="n">
        <f aca="false">IF(A18="","",IF(COUNTIFS('Income Source'!$B$5:$B$65,A18)=0,"",SUM(B18:D18)))</f>
        <v>520</v>
      </c>
      <c r="F18" s="29" t="n">
        <f aca="false">IF(A18="","",SUMIFS('Expense Source'!$M$5:$M$178,'Expense Source'!$D$5:$D$178,A18,'Expense Source'!$U$5:$U$178,1))</f>
        <v>0</v>
      </c>
      <c r="G18" s="29" t="n">
        <f aca="false">IF(A18="","",IF(COUNTIFS('Income Source'!$B$5:$B$65,A18)=0,"",IF($Q$3="All",SUMIFS('Income Source'!$G$5:$G$65,'Income Source'!$B$5:$B$65,A18),SUM(B18:D18))))</f>
        <v>520</v>
      </c>
      <c r="H18" s="29" t="n">
        <f aca="false">IF(A18="","",IF(COUNTIFS('Income Source'!$B$5:$B$65,A18)=0,"",G18-F18))</f>
        <v>520</v>
      </c>
      <c r="I18" s="30" t="n">
        <f aca="false">IF(OR(A18="",COUNTIFS('Income Source'!$B$5:$B$65,A18)=0,G18=0),"",H18/G18)</f>
        <v>1</v>
      </c>
      <c r="J18" s="1" t="str">
        <f aca="false">IF(A18="","",IF(COUNTIFS('Income Source'!$B$5:$B$65,A18)=0,"Revenue source missing",IF(ABS(E18-G18)&gt;0.005,"Income/revenue mismatch","OK")))</f>
        <v>OK</v>
      </c>
      <c r="X18" s="3"/>
      <c r="Y18" s="3"/>
      <c r="Z18" s="3"/>
      <c r="AA18" s="3"/>
      <c r="AB18" s="3" t="s">
        <v>73</v>
      </c>
      <c r="AC18" s="3"/>
    </row>
    <row r="19" customFormat="false" ht="15" hidden="false" customHeight="false" outlineLevel="0" collapsed="false">
      <c r="A19" s="28" t="n">
        <f aca="false">IF($B$3="All",46206,IF(2&lt;31,IF($B$3="July 2026",46204,46235)+2,""))</f>
        <v>46206</v>
      </c>
      <c r="B19" s="29" t="n">
        <f aca="false">IF(A19="","",IF(COUNTIFS('Income Source'!$B$5:$B$65,A19)=0,"",IF(OR($Q$3="All",$Q$3="Walk-in"),SUMIFS('Income Source'!$C$5:$C$65,'Income Source'!$B$5:$B$65,A19),0)))</f>
        <v>0</v>
      </c>
      <c r="C19" s="29" t="n">
        <f aca="false">IF(A19="","",IF(COUNTIFS('Income Source'!$B$5:$B$65,A19)=0,"",IF(OR($Q$3="All",$Q$3="Colonie"),SUMIFS('Income Source'!$D$5:$D$65,'Income Source'!$B$5:$B$65,A19),0)))</f>
        <v>0</v>
      </c>
      <c r="D19" s="29" t="n">
        <f aca="false">IF(A19="","",IF(COUNTIFS('Income Source'!$B$5:$B$65,A19)=0,"",IF(OR($Q$3="All",$Q$3="Birthday"),SUMIFS('Income Source'!$E$5:$E$65,'Income Source'!$B$5:$B$65,A19),0)))</f>
        <v>434</v>
      </c>
      <c r="E19" s="29" t="n">
        <f aca="false">IF(A19="","",IF(COUNTIFS('Income Source'!$B$5:$B$65,A19)=0,"",SUM(B19:D19)))</f>
        <v>434</v>
      </c>
      <c r="F19" s="29" t="n">
        <f aca="false">IF(A19="","",SUMIFS('Expense Source'!$M$5:$M$178,'Expense Source'!$D$5:$D$178,A19,'Expense Source'!$U$5:$U$178,1))</f>
        <v>0</v>
      </c>
      <c r="G19" s="29" t="n">
        <f aca="false">IF(A19="","",IF(COUNTIFS('Income Source'!$B$5:$B$65,A19)=0,"",IF($Q$3="All",SUMIFS('Income Source'!$G$5:$G$65,'Income Source'!$B$5:$B$65,A19),SUM(B19:D19))))</f>
        <v>434</v>
      </c>
      <c r="H19" s="29" t="n">
        <f aca="false">IF(A19="","",IF(COUNTIFS('Income Source'!$B$5:$B$65,A19)=0,"",G19-F19))</f>
        <v>434</v>
      </c>
      <c r="I19" s="30" t="n">
        <f aca="false">IF(OR(A19="",COUNTIFS('Income Source'!$B$5:$B$65,A19)=0,G19=0),"",H19/G19)</f>
        <v>1</v>
      </c>
      <c r="J19" s="1" t="str">
        <f aca="false">IF(A19="","",IF(COUNTIFS('Income Source'!$B$5:$B$65,A19)=0,"Revenue source missing",IF(ABS(E19-G19)&gt;0.005,"Income/revenue mismatch","OK")))</f>
        <v>OK</v>
      </c>
      <c r="X19" s="3"/>
      <c r="Y19" s="3"/>
      <c r="Z19" s="3"/>
      <c r="AA19" s="3"/>
      <c r="AB19" s="3" t="s">
        <v>74</v>
      </c>
      <c r="AC19" s="3"/>
    </row>
    <row r="20" customFormat="false" ht="15" hidden="false" customHeight="false" outlineLevel="0" collapsed="false">
      <c r="A20" s="28" t="n">
        <f aca="false">IF($B$3="All",46207,IF(3&lt;31,IF($B$3="July 2026",46204,46235)+3,""))</f>
        <v>46207</v>
      </c>
      <c r="B20" s="29" t="n">
        <f aca="false">IF(A20="","",IF(COUNTIFS('Income Source'!$B$5:$B$65,A20)=0,"",IF(OR($Q$3="All",$Q$3="Walk-in"),SUMIFS('Income Source'!$C$5:$C$65,'Income Source'!$B$5:$B$65,A20),0)))</f>
        <v>238</v>
      </c>
      <c r="C20" s="29" t="n">
        <f aca="false">IF(A20="","",IF(COUNTIFS('Income Source'!$B$5:$B$65,A20)=0,"",IF(OR($Q$3="All",$Q$3="Colonie"),SUMIFS('Income Source'!$D$5:$D$65,'Income Source'!$B$5:$B$65,A20),0)))</f>
        <v>100</v>
      </c>
      <c r="D20" s="29" t="n">
        <f aca="false">IF(A20="","",IF(COUNTIFS('Income Source'!$B$5:$B$65,A20)=0,"",IF(OR($Q$3="All",$Q$3="Birthday"),SUMIFS('Income Source'!$E$5:$E$65,'Income Source'!$B$5:$B$65,A20),0)))</f>
        <v>751</v>
      </c>
      <c r="E20" s="29" t="n">
        <f aca="false">IF(A20="","",IF(COUNTIFS('Income Source'!$B$5:$B$65,A20)=0,"",SUM(B20:D20)))</f>
        <v>1089</v>
      </c>
      <c r="F20" s="29" t="n">
        <f aca="false">IF(A20="","",SUMIFS('Expense Source'!$M$5:$M$178,'Expense Source'!$D$5:$D$178,A20,'Expense Source'!$U$5:$U$178,1))</f>
        <v>106.630337079</v>
      </c>
      <c r="G20" s="29" t="n">
        <f aca="false">IF(A20="","",IF(COUNTIFS('Income Source'!$B$5:$B$65,A20)=0,"",IF($Q$3="All",SUMIFS('Income Source'!$G$5:$G$65,'Income Source'!$B$5:$B$65,A20),SUM(B20:D20))))</f>
        <v>1089</v>
      </c>
      <c r="H20" s="29" t="n">
        <f aca="false">IF(A20="","",IF(COUNTIFS('Income Source'!$B$5:$B$65,A20)=0,"",G20-F20))</f>
        <v>982.369662921</v>
      </c>
      <c r="I20" s="30" t="n">
        <f aca="false">IF(OR(A20="",COUNTIFS('Income Source'!$B$5:$B$65,A20)=0,G20=0),"",H20/G20)</f>
        <v>0.902084171644628</v>
      </c>
      <c r="J20" s="1" t="str">
        <f aca="false">IF(A20="","",IF(COUNTIFS('Income Source'!$B$5:$B$65,A20)=0,"Revenue source missing",IF(ABS(E20-G20)&gt;0.005,"Income/revenue mismatch","OK")))</f>
        <v>OK</v>
      </c>
      <c r="X20" s="3"/>
      <c r="Y20" s="3"/>
      <c r="Z20" s="3"/>
      <c r="AA20" s="3"/>
      <c r="AB20" s="3" t="s">
        <v>75</v>
      </c>
      <c r="AC20" s="3"/>
    </row>
    <row r="21" customFormat="false" ht="15" hidden="false" customHeight="false" outlineLevel="0" collapsed="false">
      <c r="A21" s="28" t="n">
        <f aca="false">IF($B$3="All",46208,IF(4&lt;31,IF($B$3="July 2026",46204,46235)+4,""))</f>
        <v>46208</v>
      </c>
      <c r="B21" s="29" t="n">
        <f aca="false">IF(A21="","",IF(COUNTIFS('Income Source'!$B$5:$B$65,A21)=0,"",IF(OR($Q$3="All",$Q$3="Walk-in"),SUMIFS('Income Source'!$C$5:$C$65,'Income Source'!$B$5:$B$65,A21),0)))</f>
        <v>241</v>
      </c>
      <c r="C21" s="29" t="n">
        <f aca="false">IF(A21="","",IF(COUNTIFS('Income Source'!$B$5:$B$65,A21)=0,"",IF(OR($Q$3="All",$Q$3="Colonie"),SUMIFS('Income Source'!$D$5:$D$65,'Income Source'!$B$5:$B$65,A21),0)))</f>
        <v>0</v>
      </c>
      <c r="D21" s="29" t="n">
        <f aca="false">IF(A21="","",IF(COUNTIFS('Income Source'!$B$5:$B$65,A21)=0,"",IF(OR($Q$3="All",$Q$3="Birthday"),SUMIFS('Income Source'!$E$5:$E$65,'Income Source'!$B$5:$B$65,A21),0)))</f>
        <v>750</v>
      </c>
      <c r="E21" s="29" t="n">
        <f aca="false">IF(A21="","",IF(COUNTIFS('Income Source'!$B$5:$B$65,A21)=0,"",SUM(B21:D21)))</f>
        <v>991</v>
      </c>
      <c r="F21" s="29" t="n">
        <f aca="false">IF(A21="","",SUMIFS('Expense Source'!$M$5:$M$178,'Expense Source'!$D$5:$D$178,A21,'Expense Source'!$U$5:$U$178,1))</f>
        <v>510.71</v>
      </c>
      <c r="G21" s="29" t="n">
        <f aca="false">IF(A21="","",IF(COUNTIFS('Income Source'!$B$5:$B$65,A21)=0,"",IF($Q$3="All",SUMIFS('Income Source'!$G$5:$G$65,'Income Source'!$B$5:$B$65,A21),SUM(B21:D21))))</f>
        <v>991</v>
      </c>
      <c r="H21" s="29" t="n">
        <f aca="false">IF(A21="","",IF(COUNTIFS('Income Source'!$B$5:$B$65,A21)=0,"",G21-F21))</f>
        <v>480.29</v>
      </c>
      <c r="I21" s="30" t="n">
        <f aca="false">IF(OR(A21="",COUNTIFS('Income Source'!$B$5:$B$65,A21)=0,G21=0),"",H21/G21)</f>
        <v>0.484651866801211</v>
      </c>
      <c r="J21" s="1" t="str">
        <f aca="false">IF(A21="","",IF(COUNTIFS('Income Source'!$B$5:$B$65,A21)=0,"Revenue source missing",IF(ABS(E21-G21)&gt;0.005,"Income/revenue mismatch","OK")))</f>
        <v>OK</v>
      </c>
      <c r="X21" s="3"/>
      <c r="Y21" s="3"/>
      <c r="Z21" s="3"/>
      <c r="AA21" s="3"/>
      <c r="AB21" s="3" t="s">
        <v>76</v>
      </c>
      <c r="AC21" s="3"/>
    </row>
    <row r="22" customFormat="false" ht="15" hidden="false" customHeight="false" outlineLevel="0" collapsed="false">
      <c r="A22" s="28" t="n">
        <f aca="false">IF($B$3="All",46209,IF(5&lt;31,IF($B$3="July 2026",46204,46235)+5,""))</f>
        <v>46209</v>
      </c>
      <c r="B22" s="29" t="n">
        <f aca="false">IF(A22="","",IF(COUNTIFS('Income Source'!$B$5:$B$65,A22)=0,"",IF(OR($Q$3="All",$Q$3="Walk-in"),SUMIFS('Income Source'!$C$5:$C$65,'Income Source'!$B$5:$B$65,A22),0)))</f>
        <v>0</v>
      </c>
      <c r="C22" s="29" t="n">
        <f aca="false">IF(A22="","",IF(COUNTIFS('Income Source'!$B$5:$B$65,A22)=0,"",IF(OR($Q$3="All",$Q$3="Colonie"),SUMIFS('Income Source'!$D$5:$D$65,'Income Source'!$B$5:$B$65,A22),0)))</f>
        <v>0</v>
      </c>
      <c r="D22" s="29" t="n">
        <f aca="false">IF(A22="","",IF(COUNTIFS('Income Source'!$B$5:$B$65,A22)=0,"",IF(OR($Q$3="All",$Q$3="Birthday"),SUMIFS('Income Source'!$E$5:$E$65,'Income Source'!$B$5:$B$65,A22),0)))</f>
        <v>0</v>
      </c>
      <c r="E22" s="29" t="n">
        <f aca="false">IF(A22="","",IF(COUNTIFS('Income Source'!$B$5:$B$65,A22)=0,"",SUM(B22:D22)))</f>
        <v>0</v>
      </c>
      <c r="F22" s="29" t="n">
        <f aca="false">IF(A22="","",SUMIFS('Expense Source'!$M$5:$M$178,'Expense Source'!$D$5:$D$178,A22,'Expense Source'!$U$5:$U$178,1))</f>
        <v>0</v>
      </c>
      <c r="G22" s="29" t="n">
        <f aca="false">IF(A22="","",IF(COUNTIFS('Income Source'!$B$5:$B$65,A22)=0,"",IF($Q$3="All",SUMIFS('Income Source'!$G$5:$G$65,'Income Source'!$B$5:$B$65,A22),SUM(B22:D22))))</f>
        <v>0</v>
      </c>
      <c r="H22" s="29" t="n">
        <f aca="false">IF(A22="","",IF(COUNTIFS('Income Source'!$B$5:$B$65,A22)=0,"",G22-F22))</f>
        <v>0</v>
      </c>
      <c r="I22" s="30" t="str">
        <f aca="false">IF(OR(A22="",COUNTIFS('Income Source'!$B$5:$B$65,A22)=0,G22=0),"",H22/G22)</f>
        <v/>
      </c>
      <c r="J22" s="1" t="str">
        <f aca="false">IF(A22="","",IF(COUNTIFS('Income Source'!$B$5:$B$65,A22)=0,"Revenue source missing",IF(ABS(E22-G22)&gt;0.005,"Income/revenue mismatch","OK")))</f>
        <v>OK</v>
      </c>
      <c r="X22" s="3"/>
      <c r="Y22" s="3"/>
      <c r="Z22" s="3"/>
      <c r="AA22" s="3"/>
      <c r="AB22" s="3" t="s">
        <v>77</v>
      </c>
      <c r="AC22" s="3"/>
    </row>
    <row r="23" customFormat="false" ht="15" hidden="false" customHeight="false" outlineLevel="0" collapsed="false">
      <c r="A23" s="28" t="n">
        <f aca="false">IF($B$3="All",46210,IF(6&lt;31,IF($B$3="July 2026",46204,46235)+6,""))</f>
        <v>46210</v>
      </c>
      <c r="B23" s="29" t="n">
        <f aca="false">IF(A23="","",IF(COUNTIFS('Income Source'!$B$5:$B$65,A23)=0,"",IF(OR($Q$3="All",$Q$3="Walk-in"),SUMIFS('Income Source'!$C$5:$C$65,'Income Source'!$B$5:$B$65,A23),0)))</f>
        <v>0</v>
      </c>
      <c r="C23" s="29" t="n">
        <f aca="false">IF(A23="","",IF(COUNTIFS('Income Source'!$B$5:$B$65,A23)=0,"",IF(OR($Q$3="All",$Q$3="Colonie"),SUMIFS('Income Source'!$D$5:$D$65,'Income Source'!$B$5:$B$65,A23),0)))</f>
        <v>0</v>
      </c>
      <c r="D23" s="29" t="n">
        <f aca="false">IF(A23="","",IF(COUNTIFS('Income Source'!$B$5:$B$65,A23)=0,"",IF(OR($Q$3="All",$Q$3="Birthday"),SUMIFS('Income Source'!$E$5:$E$65,'Income Source'!$B$5:$B$65,A23),0)))</f>
        <v>0</v>
      </c>
      <c r="E23" s="29" t="n">
        <f aca="false">IF(A23="","",IF(COUNTIFS('Income Source'!$B$5:$B$65,A23)=0,"",SUM(B23:D23)))</f>
        <v>0</v>
      </c>
      <c r="F23" s="29" t="n">
        <f aca="false">IF(A23="","",SUMIFS('Expense Source'!$M$5:$M$178,'Expense Source'!$D$5:$D$178,A23,'Expense Source'!$U$5:$U$178,1))</f>
        <v>0</v>
      </c>
      <c r="G23" s="29" t="n">
        <f aca="false">IF(A23="","",IF(COUNTIFS('Income Source'!$B$5:$B$65,A23)=0,"",IF($Q$3="All",SUMIFS('Income Source'!$G$5:$G$65,'Income Source'!$B$5:$B$65,A23),SUM(B23:D23))))</f>
        <v>0</v>
      </c>
      <c r="H23" s="29" t="n">
        <f aca="false">IF(A23="","",IF(COUNTIFS('Income Source'!$B$5:$B$65,A23)=0,"",G23-F23))</f>
        <v>0</v>
      </c>
      <c r="I23" s="30" t="str">
        <f aca="false">IF(OR(A23="",COUNTIFS('Income Source'!$B$5:$B$65,A23)=0,G23=0),"",H23/G23)</f>
        <v/>
      </c>
      <c r="J23" s="1" t="str">
        <f aca="false">IF(A23="","",IF(COUNTIFS('Income Source'!$B$5:$B$65,A23)=0,"Revenue source missing",IF(ABS(E23-G23)&gt;0.005,"Income/revenue mismatch","OK")))</f>
        <v>OK</v>
      </c>
      <c r="X23" s="3"/>
      <c r="Y23" s="3"/>
      <c r="Z23" s="3"/>
      <c r="AA23" s="3"/>
      <c r="AB23" s="3" t="s">
        <v>78</v>
      </c>
      <c r="AC23" s="3"/>
    </row>
    <row r="24" customFormat="false" ht="15" hidden="false" customHeight="false" outlineLevel="0" collapsed="false">
      <c r="A24" s="28" t="n">
        <f aca="false">IF($B$3="All",46211,IF(7&lt;31,IF($B$3="July 2026",46204,46235)+7,""))</f>
        <v>46211</v>
      </c>
      <c r="B24" s="29" t="n">
        <f aca="false">IF(A24="","",IF(COUNTIFS('Income Source'!$B$5:$B$65,A24)=0,"",IF(OR($Q$3="All",$Q$3="Walk-in"),SUMIFS('Income Source'!$C$5:$C$65,'Income Source'!$B$5:$B$65,A24),0)))</f>
        <v>0</v>
      </c>
      <c r="C24" s="29" t="n">
        <f aca="false">IF(A24="","",IF(COUNTIFS('Income Source'!$B$5:$B$65,A24)=0,"",IF(OR($Q$3="All",$Q$3="Colonie"),SUMIFS('Income Source'!$D$5:$D$65,'Income Source'!$B$5:$B$65,A24),0)))</f>
        <v>760</v>
      </c>
      <c r="D24" s="29" t="n">
        <f aca="false">IF(A24="","",IF(COUNTIFS('Income Source'!$B$5:$B$65,A24)=0,"",IF(OR($Q$3="All",$Q$3="Birthday"),SUMIFS('Income Source'!$E$5:$E$65,'Income Source'!$B$5:$B$65,A24),0)))</f>
        <v>625</v>
      </c>
      <c r="E24" s="29" t="n">
        <f aca="false">IF(A24="","",IF(COUNTIFS('Income Source'!$B$5:$B$65,A24)=0,"",SUM(B24:D24)))</f>
        <v>1385</v>
      </c>
      <c r="F24" s="29" t="n">
        <f aca="false">IF(A24="","",SUMIFS('Expense Source'!$M$5:$M$178,'Expense Source'!$D$5:$D$178,A24,'Expense Source'!$U$5:$U$178,1))</f>
        <v>88.34</v>
      </c>
      <c r="G24" s="29" t="n">
        <f aca="false">IF(A24="","",IF(COUNTIFS('Income Source'!$B$5:$B$65,A24)=0,"",IF($Q$3="All",SUMIFS('Income Source'!$G$5:$G$65,'Income Source'!$B$5:$B$65,A24),SUM(B24:D24))))</f>
        <v>1385</v>
      </c>
      <c r="H24" s="29" t="n">
        <f aca="false">IF(A24="","",IF(COUNTIFS('Income Source'!$B$5:$B$65,A24)=0,"",G24-F24))</f>
        <v>1296.66</v>
      </c>
      <c r="I24" s="30" t="n">
        <f aca="false">IF(OR(A24="",COUNTIFS('Income Source'!$B$5:$B$65,A24)=0,G24=0),"",H24/G24)</f>
        <v>0.936216606498195</v>
      </c>
      <c r="J24" s="1" t="str">
        <f aca="false">IF(A24="","",IF(COUNTIFS('Income Source'!$B$5:$B$65,A24)=0,"Revenue source missing",IF(ABS(E24-G24)&gt;0.005,"Income/revenue mismatch","OK")))</f>
        <v>OK</v>
      </c>
      <c r="X24" s="3"/>
      <c r="Y24" s="3"/>
      <c r="Z24" s="3"/>
      <c r="AA24" s="3"/>
      <c r="AB24" s="3" t="s">
        <v>79</v>
      </c>
      <c r="AC24" s="3"/>
    </row>
    <row r="25" customFormat="false" ht="15" hidden="false" customHeight="false" outlineLevel="0" collapsed="false">
      <c r="A25" s="28" t="n">
        <f aca="false">IF($B$3="All",46212,IF(8&lt;31,IF($B$3="July 2026",46204,46235)+8,""))</f>
        <v>46212</v>
      </c>
      <c r="B25" s="29" t="n">
        <f aca="false">IF(A25="","",IF(COUNTIFS('Income Source'!$B$5:$B$65,A25)=0,"",IF(OR($Q$3="All",$Q$3="Walk-in"),SUMIFS('Income Source'!$C$5:$C$65,'Income Source'!$B$5:$B$65,A25),0)))</f>
        <v>0</v>
      </c>
      <c r="C25" s="29" t="n">
        <f aca="false">IF(A25="","",IF(COUNTIFS('Income Source'!$B$5:$B$65,A25)=0,"",IF(OR($Q$3="All",$Q$3="Colonie"),SUMIFS('Income Source'!$D$5:$D$65,'Income Source'!$B$5:$B$65,A25),0)))</f>
        <v>528</v>
      </c>
      <c r="D25" s="29" t="n">
        <f aca="false">IF(A25="","",IF(COUNTIFS('Income Source'!$B$5:$B$65,A25)=0,"",IF(OR($Q$3="All",$Q$3="Birthday"),SUMIFS('Income Source'!$E$5:$E$65,'Income Source'!$B$5:$B$65,A25),0)))</f>
        <v>0</v>
      </c>
      <c r="E25" s="29" t="n">
        <f aca="false">IF(A25="","",IF(COUNTIFS('Income Source'!$B$5:$B$65,A25)=0,"",SUM(B25:D25)))</f>
        <v>528</v>
      </c>
      <c r="F25" s="29" t="n">
        <f aca="false">IF(A25="","",SUMIFS('Expense Source'!$M$5:$M$178,'Expense Source'!$D$5:$D$178,A25,'Expense Source'!$U$5:$U$178,1))</f>
        <v>0</v>
      </c>
      <c r="G25" s="29" t="n">
        <f aca="false">IF(A25="","",IF(COUNTIFS('Income Source'!$B$5:$B$65,A25)=0,"",IF($Q$3="All",SUMIFS('Income Source'!$G$5:$G$65,'Income Source'!$B$5:$B$65,A25),SUM(B25:D25))))</f>
        <v>528</v>
      </c>
      <c r="H25" s="29" t="n">
        <f aca="false">IF(A25="","",IF(COUNTIFS('Income Source'!$B$5:$B$65,A25)=0,"",G25-F25))</f>
        <v>528</v>
      </c>
      <c r="I25" s="30" t="n">
        <f aca="false">IF(OR(A25="",COUNTIFS('Income Source'!$B$5:$B$65,A25)=0,G25=0),"",H25/G25)</f>
        <v>1</v>
      </c>
      <c r="J25" s="1" t="str">
        <f aca="false">IF(A25="","",IF(COUNTIFS('Income Source'!$B$5:$B$65,A25)=0,"Revenue source missing",IF(ABS(E25-G25)&gt;0.005,"Income/revenue mismatch","OK")))</f>
        <v>OK</v>
      </c>
      <c r="X25" s="3"/>
      <c r="Y25" s="3"/>
      <c r="Z25" s="3"/>
      <c r="AA25" s="3"/>
      <c r="AB25" s="3" t="s">
        <v>80</v>
      </c>
      <c r="AC25" s="3"/>
    </row>
    <row r="26" customFormat="false" ht="15" hidden="false" customHeight="false" outlineLevel="0" collapsed="false">
      <c r="A26" s="28" t="n">
        <f aca="false">IF($B$3="All",46213,IF(9&lt;31,IF($B$3="July 2026",46204,46235)+9,""))</f>
        <v>46213</v>
      </c>
      <c r="B26" s="29" t="n">
        <f aca="false">IF(A26="","",IF(COUNTIFS('Income Source'!$B$5:$B$65,A26)=0,"",IF(OR($Q$3="All",$Q$3="Walk-in"),SUMIFS('Income Source'!$C$5:$C$65,'Income Source'!$B$5:$B$65,A26),0)))</f>
        <v>0</v>
      </c>
      <c r="C26" s="29" t="n">
        <f aca="false">IF(A26="","",IF(COUNTIFS('Income Source'!$B$5:$B$65,A26)=0,"",IF(OR($Q$3="All",$Q$3="Colonie"),SUMIFS('Income Source'!$D$5:$D$65,'Income Source'!$B$5:$B$65,A26),0)))</f>
        <v>384</v>
      </c>
      <c r="D26" s="29" t="n">
        <f aca="false">IF(A26="","",IF(COUNTIFS('Income Source'!$B$5:$B$65,A26)=0,"",IF(OR($Q$3="All",$Q$3="Birthday"),SUMIFS('Income Source'!$E$5:$E$65,'Income Source'!$B$5:$B$65,A26),0)))</f>
        <v>755</v>
      </c>
      <c r="E26" s="29" t="n">
        <f aca="false">IF(A26="","",IF(COUNTIFS('Income Source'!$B$5:$B$65,A26)=0,"",SUM(B26:D26)))</f>
        <v>1139</v>
      </c>
      <c r="F26" s="29" t="n">
        <f aca="false">IF(A26="","",SUMIFS('Expense Source'!$M$5:$M$178,'Expense Source'!$D$5:$D$178,A26,'Expense Source'!$U$5:$U$178,1))</f>
        <v>625.79</v>
      </c>
      <c r="G26" s="29" t="n">
        <f aca="false">IF(A26="","",IF(COUNTIFS('Income Source'!$B$5:$B$65,A26)=0,"",IF($Q$3="All",SUMIFS('Income Source'!$G$5:$G$65,'Income Source'!$B$5:$B$65,A26),SUM(B26:D26))))</f>
        <v>1139</v>
      </c>
      <c r="H26" s="29" t="n">
        <f aca="false">IF(A26="","",IF(COUNTIFS('Income Source'!$B$5:$B$65,A26)=0,"",G26-F26))</f>
        <v>513.21</v>
      </c>
      <c r="I26" s="30" t="n">
        <f aca="false">IF(OR(A26="",COUNTIFS('Income Source'!$B$5:$B$65,A26)=0,G26=0),"",H26/G26)</f>
        <v>0.450579455662862</v>
      </c>
      <c r="J26" s="1" t="str">
        <f aca="false">IF(A26="","",IF(COUNTIFS('Income Source'!$B$5:$B$65,A26)=0,"Revenue source missing",IF(ABS(E26-G26)&gt;0.005,"Income/revenue mismatch","OK")))</f>
        <v>OK</v>
      </c>
      <c r="X26" s="3"/>
      <c r="Y26" s="3"/>
      <c r="Z26" s="3"/>
      <c r="AA26" s="3"/>
      <c r="AB26" s="3" t="s">
        <v>81</v>
      </c>
      <c r="AC26" s="3"/>
    </row>
    <row r="27" customFormat="false" ht="15" hidden="false" customHeight="false" outlineLevel="0" collapsed="false">
      <c r="A27" s="28" t="n">
        <f aca="false">IF($B$3="All",46214,IF(10&lt;31,IF($B$3="July 2026",46204,46235)+10,""))</f>
        <v>46214</v>
      </c>
      <c r="B27" s="29" t="n">
        <f aca="false">IF(A27="","",IF(COUNTIFS('Income Source'!$B$5:$B$65,A27)=0,"",IF(OR($Q$3="All",$Q$3="Walk-in"),SUMIFS('Income Source'!$C$5:$C$65,'Income Source'!$B$5:$B$65,A27),0)))</f>
        <v>453</v>
      </c>
      <c r="C27" s="29" t="n">
        <f aca="false">IF(A27="","",IF(COUNTIFS('Income Source'!$B$5:$B$65,A27)=0,"",IF(OR($Q$3="All",$Q$3="Colonie"),SUMIFS('Income Source'!$D$5:$D$65,'Income Source'!$B$5:$B$65,A27),0)))</f>
        <v>0</v>
      </c>
      <c r="D27" s="29" t="n">
        <f aca="false">IF(A27="","",IF(COUNTIFS('Income Source'!$B$5:$B$65,A27)=0,"",IF(OR($Q$3="All",$Q$3="Birthday"),SUMIFS('Income Source'!$E$5:$E$65,'Income Source'!$B$5:$B$65,A27),0)))</f>
        <v>1335</v>
      </c>
      <c r="E27" s="29" t="n">
        <f aca="false">IF(A27="","",IF(COUNTIFS('Income Source'!$B$5:$B$65,A27)=0,"",SUM(B27:D27)))</f>
        <v>1788</v>
      </c>
      <c r="F27" s="29" t="n">
        <f aca="false">IF(A27="","",SUMIFS('Expense Source'!$M$5:$M$178,'Expense Source'!$D$5:$D$178,A27,'Expense Source'!$U$5:$U$178,1))</f>
        <v>182.25</v>
      </c>
      <c r="G27" s="29" t="n">
        <f aca="false">IF(A27="","",IF(COUNTIFS('Income Source'!$B$5:$B$65,A27)=0,"",IF($Q$3="All",SUMIFS('Income Source'!$G$5:$G$65,'Income Source'!$B$5:$B$65,A27),SUM(B27:D27))))</f>
        <v>1788</v>
      </c>
      <c r="H27" s="29" t="n">
        <f aca="false">IF(A27="","",IF(COUNTIFS('Income Source'!$B$5:$B$65,A27)=0,"",G27-F27))</f>
        <v>1605.75</v>
      </c>
      <c r="I27" s="30" t="n">
        <f aca="false">IF(OR(A27="",COUNTIFS('Income Source'!$B$5:$B$65,A27)=0,G27=0),"",H27/G27)</f>
        <v>0.898070469798658</v>
      </c>
      <c r="J27" s="1" t="str">
        <f aca="false">IF(A27="","",IF(COUNTIFS('Income Source'!$B$5:$B$65,A27)=0,"Revenue source missing",IF(ABS(E27-G27)&gt;0.005,"Income/revenue mismatch","OK")))</f>
        <v>OK</v>
      </c>
      <c r="X27" s="3"/>
      <c r="Y27" s="3"/>
      <c r="Z27" s="3"/>
      <c r="AA27" s="3"/>
      <c r="AB27" s="3" t="s">
        <v>82</v>
      </c>
      <c r="AC27" s="3"/>
    </row>
    <row r="28" customFormat="false" ht="15" hidden="false" customHeight="false" outlineLevel="0" collapsed="false">
      <c r="A28" s="28" t="n">
        <f aca="false">IF($B$3="All",46215,IF(11&lt;31,IF($B$3="July 2026",46204,46235)+11,""))</f>
        <v>46215</v>
      </c>
      <c r="B28" s="29" t="n">
        <f aca="false">IF(A28="","",IF(COUNTIFS('Income Source'!$B$5:$B$65,A28)=0,"",IF(OR($Q$3="All",$Q$3="Walk-in"),SUMIFS('Income Source'!$C$5:$C$65,'Income Source'!$B$5:$B$65,A28),0)))</f>
        <v>370</v>
      </c>
      <c r="C28" s="29" t="n">
        <f aca="false">IF(A28="","",IF(COUNTIFS('Income Source'!$B$5:$B$65,A28)=0,"",IF(OR($Q$3="All",$Q$3="Colonie"),SUMIFS('Income Source'!$D$5:$D$65,'Income Source'!$B$5:$B$65,A28),0)))</f>
        <v>0</v>
      </c>
      <c r="D28" s="29" t="n">
        <f aca="false">IF(A28="","",IF(COUNTIFS('Income Source'!$B$5:$B$65,A28)=0,"",IF(OR($Q$3="All",$Q$3="Birthday"),SUMIFS('Income Source'!$E$5:$E$65,'Income Source'!$B$5:$B$65,A28),0)))</f>
        <v>550</v>
      </c>
      <c r="E28" s="29" t="n">
        <f aca="false">IF(A28="","",IF(COUNTIFS('Income Source'!$B$5:$B$65,A28)=0,"",SUM(B28:D28)))</f>
        <v>920</v>
      </c>
      <c r="F28" s="29" t="n">
        <f aca="false">IF(A28="","",SUMIFS('Expense Source'!$M$5:$M$178,'Expense Source'!$D$5:$D$178,A28,'Expense Source'!$U$5:$U$178,1))</f>
        <v>193.1964044954</v>
      </c>
      <c r="G28" s="29" t="n">
        <f aca="false">IF(A28="","",IF(COUNTIFS('Income Source'!$B$5:$B$65,A28)=0,"",IF($Q$3="All",SUMIFS('Income Source'!$G$5:$G$65,'Income Source'!$B$5:$B$65,A28),SUM(B28:D28))))</f>
        <v>920</v>
      </c>
      <c r="H28" s="29" t="n">
        <f aca="false">IF(A28="","",IF(COUNTIFS('Income Source'!$B$5:$B$65,A28)=0,"",G28-F28))</f>
        <v>726.8035955046</v>
      </c>
      <c r="I28" s="30" t="n">
        <f aca="false">IF(OR(A28="",COUNTIFS('Income Source'!$B$5:$B$65,A28)=0,G28=0),"",H28/G28)</f>
        <v>0.790003908157174</v>
      </c>
      <c r="J28" s="1" t="str">
        <f aca="false">IF(A28="","",IF(COUNTIFS('Income Source'!$B$5:$B$65,A28)=0,"Revenue source missing",IF(ABS(E28-G28)&gt;0.005,"Income/revenue mismatch","OK")))</f>
        <v>OK</v>
      </c>
      <c r="X28" s="3"/>
      <c r="Y28" s="3"/>
      <c r="Z28" s="3"/>
      <c r="AA28" s="3"/>
      <c r="AB28" s="3" t="s">
        <v>83</v>
      </c>
      <c r="AC28" s="3"/>
    </row>
    <row r="29" customFormat="false" ht="15" hidden="false" customHeight="false" outlineLevel="0" collapsed="false">
      <c r="A29" s="28" t="n">
        <f aca="false">IF($B$3="All",46216,IF(12&lt;31,IF($B$3="July 2026",46204,46235)+12,""))</f>
        <v>46216</v>
      </c>
      <c r="B29" s="29" t="n">
        <f aca="false">IF(A29="","",IF(COUNTIFS('Income Source'!$B$5:$B$65,A29)=0,"",IF(OR($Q$3="All",$Q$3="Walk-in"),SUMIFS('Income Source'!$C$5:$C$65,'Income Source'!$B$5:$B$65,A29),0)))</f>
        <v>0</v>
      </c>
      <c r="C29" s="29" t="n">
        <f aca="false">IF(A29="","",IF(COUNTIFS('Income Source'!$B$5:$B$65,A29)=0,"",IF(OR($Q$3="All",$Q$3="Colonie"),SUMIFS('Income Source'!$D$5:$D$65,'Income Source'!$B$5:$B$65,A29),0)))</f>
        <v>0</v>
      </c>
      <c r="D29" s="29" t="n">
        <f aca="false">IF(A29="","",IF(COUNTIFS('Income Source'!$B$5:$B$65,A29)=0,"",IF(OR($Q$3="All",$Q$3="Birthday"),SUMIFS('Income Source'!$E$5:$E$65,'Income Source'!$B$5:$B$65,A29),0)))</f>
        <v>0</v>
      </c>
      <c r="E29" s="29" t="n">
        <f aca="false">IF(A29="","",IF(COUNTIFS('Income Source'!$B$5:$B$65,A29)=0,"",SUM(B29:D29)))</f>
        <v>0</v>
      </c>
      <c r="F29" s="29" t="n">
        <f aca="false">IF(A29="","",SUMIFS('Expense Source'!$M$5:$M$178,'Expense Source'!$D$5:$D$178,A29,'Expense Source'!$U$5:$U$178,1))</f>
        <v>0</v>
      </c>
      <c r="G29" s="29" t="n">
        <f aca="false">IF(A29="","",IF(COUNTIFS('Income Source'!$B$5:$B$65,A29)=0,"",IF($Q$3="All",SUMIFS('Income Source'!$G$5:$G$65,'Income Source'!$B$5:$B$65,A29),SUM(B29:D29))))</f>
        <v>0</v>
      </c>
      <c r="H29" s="29" t="n">
        <f aca="false">IF(A29="","",IF(COUNTIFS('Income Source'!$B$5:$B$65,A29)=0,"",G29-F29))</f>
        <v>0</v>
      </c>
      <c r="I29" s="30" t="str">
        <f aca="false">IF(OR(A29="",COUNTIFS('Income Source'!$B$5:$B$65,A29)=0,G29=0),"",H29/G29)</f>
        <v/>
      </c>
      <c r="J29" s="1" t="str">
        <f aca="false">IF(A29="","",IF(COUNTIFS('Income Source'!$B$5:$B$65,A29)=0,"Revenue source missing",IF(ABS(E29-G29)&gt;0.005,"Income/revenue mismatch","OK")))</f>
        <v>OK</v>
      </c>
      <c r="X29" s="3"/>
      <c r="Y29" s="3"/>
      <c r="Z29" s="3"/>
      <c r="AA29" s="3"/>
      <c r="AB29" s="3" t="s">
        <v>84</v>
      </c>
      <c r="AC29" s="3"/>
    </row>
    <row r="30" customFormat="false" ht="15" hidden="false" customHeight="false" outlineLevel="0" collapsed="false">
      <c r="A30" s="28" t="n">
        <f aca="false">IF($B$3="All",46217,IF(13&lt;31,IF($B$3="July 2026",46204,46235)+13,""))</f>
        <v>46217</v>
      </c>
      <c r="B30" s="29" t="n">
        <f aca="false">IF(A30="","",IF(COUNTIFS('Income Source'!$B$5:$B$65,A30)=0,"",IF(OR($Q$3="All",$Q$3="Walk-in"),SUMIFS('Income Source'!$C$5:$C$65,'Income Source'!$B$5:$B$65,A30),0)))</f>
        <v>0</v>
      </c>
      <c r="C30" s="29" t="n">
        <f aca="false">IF(A30="","",IF(COUNTIFS('Income Source'!$B$5:$B$65,A30)=0,"",IF(OR($Q$3="All",$Q$3="Colonie"),SUMIFS('Income Source'!$D$5:$D$65,'Income Source'!$B$5:$B$65,A30),0)))</f>
        <v>0</v>
      </c>
      <c r="D30" s="29" t="n">
        <f aca="false">IF(A30="","",IF(COUNTIFS('Income Source'!$B$5:$B$65,A30)=0,"",IF(OR($Q$3="All",$Q$3="Birthday"),SUMIFS('Income Source'!$E$5:$E$65,'Income Source'!$B$5:$B$65,A30),0)))</f>
        <v>0</v>
      </c>
      <c r="E30" s="29" t="n">
        <f aca="false">IF(A30="","",IF(COUNTIFS('Income Source'!$B$5:$B$65,A30)=0,"",SUM(B30:D30)))</f>
        <v>0</v>
      </c>
      <c r="F30" s="29" t="n">
        <f aca="false">IF(A30="","",SUMIFS('Expense Source'!$M$5:$M$178,'Expense Source'!$D$5:$D$178,A30,'Expense Source'!$U$5:$U$178,1))</f>
        <v>0</v>
      </c>
      <c r="G30" s="29" t="n">
        <f aca="false">IF(A30="","",IF(COUNTIFS('Income Source'!$B$5:$B$65,A30)=0,"",IF($Q$3="All",SUMIFS('Income Source'!$G$5:$G$65,'Income Source'!$B$5:$B$65,A30),SUM(B30:D30))))</f>
        <v>0</v>
      </c>
      <c r="H30" s="29" t="n">
        <f aca="false">IF(A30="","",IF(COUNTIFS('Income Source'!$B$5:$B$65,A30)=0,"",G30-F30))</f>
        <v>0</v>
      </c>
      <c r="I30" s="30" t="str">
        <f aca="false">IF(OR(A30="",COUNTIFS('Income Source'!$B$5:$B$65,A30)=0,G30=0),"",H30/G30)</f>
        <v/>
      </c>
      <c r="J30" s="1" t="str">
        <f aca="false">IF(A30="","",IF(COUNTIFS('Income Source'!$B$5:$B$65,A30)=0,"Revenue source missing",IF(ABS(E30-G30)&gt;0.005,"Income/revenue mismatch","OK")))</f>
        <v>OK</v>
      </c>
      <c r="X30" s="3"/>
      <c r="Y30" s="3"/>
      <c r="Z30" s="3"/>
      <c r="AA30" s="3"/>
      <c r="AB30" s="3" t="s">
        <v>85</v>
      </c>
      <c r="AC30" s="3"/>
    </row>
    <row r="31" customFormat="false" ht="15" hidden="false" customHeight="false" outlineLevel="0" collapsed="false">
      <c r="A31" s="28" t="n">
        <f aca="false">IF($B$3="All",46218,IF(14&lt;31,IF($B$3="July 2026",46204,46235)+14,""))</f>
        <v>46218</v>
      </c>
      <c r="B31" s="29" t="n">
        <f aca="false">IF(A31="","",IF(COUNTIFS('Income Source'!$B$5:$B$65,A31)=0,"",IF(OR($Q$3="All",$Q$3="Walk-in"),SUMIFS('Income Source'!$C$5:$C$65,'Income Source'!$B$5:$B$65,A31),0)))</f>
        <v>0</v>
      </c>
      <c r="C31" s="29" t="n">
        <f aca="false">IF(A31="","",IF(COUNTIFS('Income Source'!$B$5:$B$65,A31)=0,"",IF(OR($Q$3="All",$Q$3="Colonie"),SUMIFS('Income Source'!$D$5:$D$65,'Income Source'!$B$5:$B$65,A31),0)))</f>
        <v>0</v>
      </c>
      <c r="D31" s="29" t="n">
        <f aca="false">IF(A31="","",IF(COUNTIFS('Income Source'!$B$5:$B$65,A31)=0,"",IF(OR($Q$3="All",$Q$3="Birthday"),SUMIFS('Income Source'!$E$5:$E$65,'Income Source'!$B$5:$B$65,A31),0)))</f>
        <v>0</v>
      </c>
      <c r="E31" s="29" t="n">
        <f aca="false">IF(A31="","",IF(COUNTIFS('Income Source'!$B$5:$B$65,A31)=0,"",SUM(B31:D31)))</f>
        <v>0</v>
      </c>
      <c r="F31" s="29" t="n">
        <f aca="false">IF(A31="","",SUMIFS('Expense Source'!$M$5:$M$178,'Expense Source'!$D$5:$D$178,A31,'Expense Source'!$U$5:$U$178,1))</f>
        <v>0</v>
      </c>
      <c r="G31" s="29" t="n">
        <f aca="false">IF(A31="","",IF(COUNTIFS('Income Source'!$B$5:$B$65,A31)=0,"",IF($Q$3="All",SUMIFS('Income Source'!$G$5:$G$65,'Income Source'!$B$5:$B$65,A31),SUM(B31:D31))))</f>
        <v>0</v>
      </c>
      <c r="H31" s="29" t="n">
        <f aca="false">IF(A31="","",IF(COUNTIFS('Income Source'!$B$5:$B$65,A31)=0,"",G31-F31))</f>
        <v>0</v>
      </c>
      <c r="I31" s="30" t="str">
        <f aca="false">IF(OR(A31="",COUNTIFS('Income Source'!$B$5:$B$65,A31)=0,G31=0),"",H31/G31)</f>
        <v/>
      </c>
      <c r="J31" s="1" t="str">
        <f aca="false">IF(A31="","",IF(COUNTIFS('Income Source'!$B$5:$B$65,A31)=0,"Revenue source missing",IF(ABS(E31-G31)&gt;0.005,"Income/revenue mismatch","OK")))</f>
        <v>OK</v>
      </c>
      <c r="X31" s="3"/>
      <c r="Y31" s="3"/>
      <c r="Z31" s="3"/>
      <c r="AA31" s="3"/>
      <c r="AB31" s="3" t="s">
        <v>86</v>
      </c>
      <c r="AC31" s="3"/>
    </row>
    <row r="32" customFormat="false" ht="15" hidden="false" customHeight="false" outlineLevel="0" collapsed="false">
      <c r="A32" s="28" t="n">
        <f aca="false">IF($B$3="All",46219,IF(15&lt;31,IF($B$3="July 2026",46204,46235)+15,""))</f>
        <v>46219</v>
      </c>
      <c r="B32" s="29" t="n">
        <f aca="false">IF(A32="","",IF(COUNTIFS('Income Source'!$B$5:$B$65,A32)=0,"",IF(OR($Q$3="All",$Q$3="Walk-in"),SUMIFS('Income Source'!$C$5:$C$65,'Income Source'!$B$5:$B$65,A32),0)))</f>
        <v>0</v>
      </c>
      <c r="C32" s="29" t="n">
        <f aca="false">IF(A32="","",IF(COUNTIFS('Income Source'!$B$5:$B$65,A32)=0,"",IF(OR($Q$3="All",$Q$3="Colonie"),SUMIFS('Income Source'!$D$5:$D$65,'Income Source'!$B$5:$B$65,A32),0)))</f>
        <v>0</v>
      </c>
      <c r="D32" s="29" t="n">
        <f aca="false">IF(A32="","",IF(COUNTIFS('Income Source'!$B$5:$B$65,A32)=0,"",IF(OR($Q$3="All",$Q$3="Birthday"),SUMIFS('Income Source'!$E$5:$E$65,'Income Source'!$B$5:$B$65,A32),0)))</f>
        <v>0</v>
      </c>
      <c r="E32" s="29" t="n">
        <f aca="false">IF(A32="","",IF(COUNTIFS('Income Source'!$B$5:$B$65,A32)=0,"",SUM(B32:D32)))</f>
        <v>0</v>
      </c>
      <c r="F32" s="29" t="n">
        <f aca="false">IF(A32="","",SUMIFS('Expense Source'!$M$5:$M$178,'Expense Source'!$D$5:$D$178,A32,'Expense Source'!$U$5:$U$178,1))</f>
        <v>0</v>
      </c>
      <c r="G32" s="29" t="n">
        <f aca="false">IF(A32="","",IF(COUNTIFS('Income Source'!$B$5:$B$65,A32)=0,"",IF($Q$3="All",SUMIFS('Income Source'!$G$5:$G$65,'Income Source'!$B$5:$B$65,A32),SUM(B32:D32))))</f>
        <v>0</v>
      </c>
      <c r="H32" s="29" t="n">
        <f aca="false">IF(A32="","",IF(COUNTIFS('Income Source'!$B$5:$B$65,A32)=0,"",G32-F32))</f>
        <v>0</v>
      </c>
      <c r="I32" s="30" t="str">
        <f aca="false">IF(OR(A32="",COUNTIFS('Income Source'!$B$5:$B$65,A32)=0,G32=0),"",H32/G32)</f>
        <v/>
      </c>
      <c r="J32" s="1" t="str">
        <f aca="false">IF(A32="","",IF(COUNTIFS('Income Source'!$B$5:$B$65,A32)=0,"Revenue source missing",IF(ABS(E32-G32)&gt;0.005,"Income/revenue mismatch","OK")))</f>
        <v>OK</v>
      </c>
      <c r="X32" s="3"/>
      <c r="Y32" s="3"/>
      <c r="Z32" s="3"/>
      <c r="AA32" s="3"/>
      <c r="AB32" s="3" t="s">
        <v>87</v>
      </c>
      <c r="AC32" s="3"/>
    </row>
    <row r="33" customFormat="false" ht="15" hidden="false" customHeight="false" outlineLevel="0" collapsed="false">
      <c r="A33" s="28" t="n">
        <f aca="false">IF($B$3="All",46220,IF(16&lt;31,IF($B$3="July 2026",46204,46235)+16,""))</f>
        <v>46220</v>
      </c>
      <c r="B33" s="29" t="n">
        <f aca="false">IF(A33="","",IF(COUNTIFS('Income Source'!$B$5:$B$65,A33)=0,"",IF(OR($Q$3="All",$Q$3="Walk-in"),SUMIFS('Income Source'!$C$5:$C$65,'Income Source'!$B$5:$B$65,A33),0)))</f>
        <v>284</v>
      </c>
      <c r="C33" s="29" t="n">
        <f aca="false">IF(A33="","",IF(COUNTIFS('Income Source'!$B$5:$B$65,A33)=0,"",IF(OR($Q$3="All",$Q$3="Colonie"),SUMIFS('Income Source'!$D$5:$D$65,'Income Source'!$B$5:$B$65,A33),0)))</f>
        <v>0</v>
      </c>
      <c r="D33" s="29" t="n">
        <f aca="false">IF(A33="","",IF(COUNTIFS('Income Source'!$B$5:$B$65,A33)=0,"",IF(OR($Q$3="All",$Q$3="Birthday"),SUMIFS('Income Source'!$E$5:$E$65,'Income Source'!$B$5:$B$65,A33),0)))</f>
        <v>520</v>
      </c>
      <c r="E33" s="29" t="n">
        <f aca="false">IF(A33="","",IF(COUNTIFS('Income Source'!$B$5:$B$65,A33)=0,"",SUM(B33:D33)))</f>
        <v>804</v>
      </c>
      <c r="F33" s="29" t="n">
        <f aca="false">IF(A33="","",SUMIFS('Expense Source'!$M$5:$M$178,'Expense Source'!$D$5:$D$178,A33,'Expense Source'!$U$5:$U$178,1))</f>
        <v>732.31</v>
      </c>
      <c r="G33" s="29" t="n">
        <f aca="false">IF(A33="","",IF(COUNTIFS('Income Source'!$B$5:$B$65,A33)=0,"",IF($Q$3="All",SUMIFS('Income Source'!$G$5:$G$65,'Income Source'!$B$5:$B$65,A33),SUM(B33:D33))))</f>
        <v>804</v>
      </c>
      <c r="H33" s="29" t="n">
        <f aca="false">IF(A33="","",IF(COUNTIFS('Income Source'!$B$5:$B$65,A33)=0,"",G33-F33))</f>
        <v>71.6900000000001</v>
      </c>
      <c r="I33" s="30" t="n">
        <f aca="false">IF(OR(A33="",COUNTIFS('Income Source'!$B$5:$B$65,A33)=0,G33=0),"",H33/G33)</f>
        <v>0.0891666666666667</v>
      </c>
      <c r="J33" s="1" t="str">
        <f aca="false">IF(A33="","",IF(COUNTIFS('Income Source'!$B$5:$B$65,A33)=0,"Revenue source missing",IF(ABS(E33-G33)&gt;0.005,"Income/revenue mismatch","OK")))</f>
        <v>OK</v>
      </c>
      <c r="X33" s="3"/>
      <c r="Y33" s="3"/>
      <c r="Z33" s="3"/>
      <c r="AA33" s="3"/>
      <c r="AB33" s="3" t="s">
        <v>88</v>
      </c>
      <c r="AC33" s="3"/>
    </row>
    <row r="34" customFormat="false" ht="15" hidden="false" customHeight="false" outlineLevel="0" collapsed="false">
      <c r="A34" s="28" t="n">
        <f aca="false">IF($B$3="All",46221,IF(17&lt;31,IF($B$3="July 2026",46204,46235)+17,""))</f>
        <v>46221</v>
      </c>
      <c r="B34" s="29" t="n">
        <f aca="false">IF(A34="","",IF(COUNTIFS('Income Source'!$B$5:$B$65,A34)=0,"",IF(OR($Q$3="All",$Q$3="Walk-in"),SUMIFS('Income Source'!$C$5:$C$65,'Income Source'!$B$5:$B$65,A34),0)))</f>
        <v>330</v>
      </c>
      <c r="C34" s="29" t="n">
        <f aca="false">IF(A34="","",IF(COUNTIFS('Income Source'!$B$5:$B$65,A34)=0,"",IF(OR($Q$3="All",$Q$3="Colonie"),SUMIFS('Income Source'!$D$5:$D$65,'Income Source'!$B$5:$B$65,A34),0)))</f>
        <v>0</v>
      </c>
      <c r="D34" s="29" t="n">
        <f aca="false">IF(A34="","",IF(COUNTIFS('Income Source'!$B$5:$B$65,A34)=0,"",IF(OR($Q$3="All",$Q$3="Birthday"),SUMIFS('Income Source'!$E$5:$E$65,'Income Source'!$B$5:$B$65,A34),0)))</f>
        <v>1150</v>
      </c>
      <c r="E34" s="29" t="n">
        <f aca="false">IF(A34="","",IF(COUNTIFS('Income Source'!$B$5:$B$65,A34)=0,"",SUM(B34:D34)))</f>
        <v>1480</v>
      </c>
      <c r="F34" s="29" t="n">
        <f aca="false">IF(A34="","",SUMIFS('Expense Source'!$M$5:$M$178,'Expense Source'!$D$5:$D$178,A34,'Expense Source'!$U$5:$U$178,1))</f>
        <v>218.049</v>
      </c>
      <c r="G34" s="29" t="n">
        <f aca="false">IF(A34="","",IF(COUNTIFS('Income Source'!$B$5:$B$65,A34)=0,"",IF($Q$3="All",SUMIFS('Income Source'!$G$5:$G$65,'Income Source'!$B$5:$B$65,A34),SUM(B34:D34))))</f>
        <v>1480</v>
      </c>
      <c r="H34" s="29" t="n">
        <f aca="false">IF(A34="","",IF(COUNTIFS('Income Source'!$B$5:$B$65,A34)=0,"",G34-F34))</f>
        <v>1261.951</v>
      </c>
      <c r="I34" s="30" t="n">
        <f aca="false">IF(OR(A34="",COUNTIFS('Income Source'!$B$5:$B$65,A34)=0,G34=0),"",H34/G34)</f>
        <v>0.852669594594595</v>
      </c>
      <c r="J34" s="1" t="str">
        <f aca="false">IF(A34="","",IF(COUNTIFS('Income Source'!$B$5:$B$65,A34)=0,"Revenue source missing",IF(ABS(E34-G34)&gt;0.005,"Income/revenue mismatch","OK")))</f>
        <v>OK</v>
      </c>
      <c r="X34" s="3"/>
      <c r="Y34" s="3"/>
      <c r="Z34" s="3"/>
      <c r="AA34" s="3"/>
      <c r="AB34" s="3" t="s">
        <v>89</v>
      </c>
      <c r="AC34" s="3"/>
    </row>
    <row r="35" customFormat="false" ht="15" hidden="false" customHeight="false" outlineLevel="0" collapsed="false">
      <c r="A35" s="28" t="n">
        <f aca="false">IF($B$3="All",46222,IF(18&lt;31,IF($B$3="July 2026",46204,46235)+18,""))</f>
        <v>46222</v>
      </c>
      <c r="B35" s="29" t="n">
        <f aca="false">IF(A35="","",IF(COUNTIFS('Income Source'!$B$5:$B$65,A35)=0,"",IF(OR($Q$3="All",$Q$3="Walk-in"),SUMIFS('Income Source'!$C$5:$C$65,'Income Source'!$B$5:$B$65,A35),0)))</f>
        <v>77</v>
      </c>
      <c r="C35" s="29" t="n">
        <f aca="false">IF(A35="","",IF(COUNTIFS('Income Source'!$B$5:$B$65,A35)=0,"",IF(OR($Q$3="All",$Q$3="Colonie"),SUMIFS('Income Source'!$D$5:$D$65,'Income Source'!$B$5:$B$65,A35),0)))</f>
        <v>0</v>
      </c>
      <c r="D35" s="29" t="n">
        <f aca="false">IF(A35="","",IF(COUNTIFS('Income Source'!$B$5:$B$65,A35)=0,"",IF(OR($Q$3="All",$Q$3="Birthday"),SUMIFS('Income Source'!$E$5:$E$65,'Income Source'!$B$5:$B$65,A35),0)))</f>
        <v>525</v>
      </c>
      <c r="E35" s="29" t="n">
        <f aca="false">IF(A35="","",IF(COUNTIFS('Income Source'!$B$5:$B$65,A35)=0,"",SUM(B35:D35)))</f>
        <v>602</v>
      </c>
      <c r="F35" s="29" t="n">
        <f aca="false">IF(A35="","",SUMIFS('Expense Source'!$M$5:$M$178,'Expense Source'!$D$5:$D$178,A35,'Expense Source'!$U$5:$U$178,1))</f>
        <v>124.495426977</v>
      </c>
      <c r="G35" s="29" t="n">
        <f aca="false">IF(A35="","",IF(COUNTIFS('Income Source'!$B$5:$B$65,A35)=0,"",IF($Q$3="All",SUMIFS('Income Source'!$G$5:$G$65,'Income Source'!$B$5:$B$65,A35),SUM(B35:D35))))</f>
        <v>602</v>
      </c>
      <c r="H35" s="29" t="n">
        <f aca="false">IF(A35="","",IF(COUNTIFS('Income Source'!$B$5:$B$65,A35)=0,"",G35-F35))</f>
        <v>477.504573023</v>
      </c>
      <c r="I35" s="30" t="n">
        <f aca="false">IF(OR(A35="",COUNTIFS('Income Source'!$B$5:$B$65,A35)=0,G35=0),"",H35/G35)</f>
        <v>0.793196965154485</v>
      </c>
      <c r="J35" s="1" t="str">
        <f aca="false">IF(A35="","",IF(COUNTIFS('Income Source'!$B$5:$B$65,A35)=0,"Revenue source missing",IF(ABS(E35-G35)&gt;0.005,"Income/revenue mismatch","OK")))</f>
        <v>OK</v>
      </c>
      <c r="X35" s="3"/>
      <c r="Y35" s="3"/>
      <c r="Z35" s="3"/>
      <c r="AA35" s="3"/>
      <c r="AB35" s="3" t="s">
        <v>90</v>
      </c>
      <c r="AC35" s="3"/>
    </row>
    <row r="36" customFormat="false" ht="15" hidden="false" customHeight="false" outlineLevel="0" collapsed="false">
      <c r="A36" s="28" t="n">
        <f aca="false">IF($B$3="All",46223,IF(19&lt;31,IF($B$3="July 2026",46204,46235)+19,""))</f>
        <v>46223</v>
      </c>
      <c r="B36" s="29" t="n">
        <f aca="false">IF(A36="","",IF(COUNTIFS('Income Source'!$B$5:$B$65,A36)=0,"",IF(OR($Q$3="All",$Q$3="Walk-in"),SUMIFS('Income Source'!$C$5:$C$65,'Income Source'!$B$5:$B$65,A36),0)))</f>
        <v>0</v>
      </c>
      <c r="C36" s="29" t="n">
        <f aca="false">IF(A36="","",IF(COUNTIFS('Income Source'!$B$5:$B$65,A36)=0,"",IF(OR($Q$3="All",$Q$3="Colonie"),SUMIFS('Income Source'!$D$5:$D$65,'Income Source'!$B$5:$B$65,A36),0)))</f>
        <v>0</v>
      </c>
      <c r="D36" s="29" t="n">
        <f aca="false">IF(A36="","",IF(COUNTIFS('Income Source'!$B$5:$B$65,A36)=0,"",IF(OR($Q$3="All",$Q$3="Birthday"),SUMIFS('Income Source'!$E$5:$E$65,'Income Source'!$B$5:$B$65,A36),0)))</f>
        <v>0</v>
      </c>
      <c r="E36" s="29" t="n">
        <f aca="false">IF(A36="","",IF(COUNTIFS('Income Source'!$B$5:$B$65,A36)=0,"",SUM(B36:D36)))</f>
        <v>0</v>
      </c>
      <c r="F36" s="29" t="n">
        <f aca="false">IF(A36="","",SUMIFS('Expense Source'!$M$5:$M$178,'Expense Source'!$D$5:$D$178,A36,'Expense Source'!$U$5:$U$178,1))</f>
        <v>45.39</v>
      </c>
      <c r="G36" s="29" t="n">
        <f aca="false">IF(A36="","",IF(COUNTIFS('Income Source'!$B$5:$B$65,A36)=0,"",IF($Q$3="All",SUMIFS('Income Source'!$G$5:$G$65,'Income Source'!$B$5:$B$65,A36),SUM(B36:D36))))</f>
        <v>0</v>
      </c>
      <c r="H36" s="29" t="n">
        <f aca="false">IF(A36="","",IF(COUNTIFS('Income Source'!$B$5:$B$65,A36)=0,"",G36-F36))</f>
        <v>-45.39</v>
      </c>
      <c r="I36" s="30" t="str">
        <f aca="false">IF(OR(A36="",COUNTIFS('Income Source'!$B$5:$B$65,A36)=0,G36=0),"",H36/G36)</f>
        <v/>
      </c>
      <c r="J36" s="1" t="str">
        <f aca="false">IF(A36="","",IF(COUNTIFS('Income Source'!$B$5:$B$65,A36)=0,"Revenue source missing",IF(ABS(E36-G36)&gt;0.005,"Income/revenue mismatch","OK")))</f>
        <v>OK</v>
      </c>
      <c r="X36" s="3"/>
      <c r="Y36" s="3"/>
      <c r="Z36" s="3"/>
      <c r="AA36" s="3"/>
      <c r="AB36" s="3" t="s">
        <v>91</v>
      </c>
      <c r="AC36" s="3"/>
    </row>
    <row r="37" customFormat="false" ht="15" hidden="false" customHeight="false" outlineLevel="0" collapsed="false">
      <c r="A37" s="28" t="n">
        <f aca="false">IF($B$3="All",46224,IF(20&lt;31,IF($B$3="July 2026",46204,46235)+20,""))</f>
        <v>46224</v>
      </c>
      <c r="B37" s="29" t="n">
        <f aca="false">IF(A37="","",IF(COUNTIFS('Income Source'!$B$5:$B$65,A37)=0,"",IF(OR($Q$3="All",$Q$3="Walk-in"),SUMIFS('Income Source'!$C$5:$C$65,'Income Source'!$B$5:$B$65,A37),0)))</f>
        <v>0</v>
      </c>
      <c r="C37" s="29" t="n">
        <f aca="false">IF(A37="","",IF(COUNTIFS('Income Source'!$B$5:$B$65,A37)=0,"",IF(OR($Q$3="All",$Q$3="Colonie"),SUMIFS('Income Source'!$D$5:$D$65,'Income Source'!$B$5:$B$65,A37),0)))</f>
        <v>0</v>
      </c>
      <c r="D37" s="29" t="n">
        <f aca="false">IF(A37="","",IF(COUNTIFS('Income Source'!$B$5:$B$65,A37)=0,"",IF(OR($Q$3="All",$Q$3="Birthday"),SUMIFS('Income Source'!$E$5:$E$65,'Income Source'!$B$5:$B$65,A37),0)))</f>
        <v>0</v>
      </c>
      <c r="E37" s="29" t="n">
        <f aca="false">IF(A37="","",IF(COUNTIFS('Income Source'!$B$5:$B$65,A37)=0,"",SUM(B37:D37)))</f>
        <v>0</v>
      </c>
      <c r="F37" s="29" t="n">
        <f aca="false">IF(A37="","",SUMIFS('Expense Source'!$M$5:$M$178,'Expense Source'!$D$5:$D$178,A37,'Expense Source'!$U$5:$U$178,1))</f>
        <v>0</v>
      </c>
      <c r="G37" s="29" t="n">
        <f aca="false">IF(A37="","",IF(COUNTIFS('Income Source'!$B$5:$B$65,A37)=0,"",IF($Q$3="All",SUMIFS('Income Source'!$G$5:$G$65,'Income Source'!$B$5:$B$65,A37),SUM(B37:D37))))</f>
        <v>0</v>
      </c>
      <c r="H37" s="29" t="n">
        <f aca="false">IF(A37="","",IF(COUNTIFS('Income Source'!$B$5:$B$65,A37)=0,"",G37-F37))</f>
        <v>0</v>
      </c>
      <c r="I37" s="30" t="str">
        <f aca="false">IF(OR(A37="",COUNTIFS('Income Source'!$B$5:$B$65,A37)=0,G37=0),"",H37/G37)</f>
        <v/>
      </c>
      <c r="J37" s="1" t="str">
        <f aca="false">IF(A37="","",IF(COUNTIFS('Income Source'!$B$5:$B$65,A37)=0,"Revenue source missing",IF(ABS(E37-G37)&gt;0.005,"Income/revenue mismatch","OK")))</f>
        <v>OK</v>
      </c>
      <c r="X37" s="3"/>
      <c r="Y37" s="3"/>
      <c r="Z37" s="3"/>
      <c r="AA37" s="3"/>
      <c r="AB37" s="3" t="s">
        <v>38</v>
      </c>
      <c r="AC37" s="3"/>
    </row>
    <row r="38" customFormat="false" ht="15" hidden="false" customHeight="false" outlineLevel="0" collapsed="false">
      <c r="A38" s="28" t="n">
        <f aca="false">IF($B$3="All",46225,IF(21&lt;31,IF($B$3="July 2026",46204,46235)+21,""))</f>
        <v>46225</v>
      </c>
      <c r="B38" s="29" t="n">
        <f aca="false">IF(A38="","",IF(COUNTIFS('Income Source'!$B$5:$B$65,A38)=0,"",IF(OR($Q$3="All",$Q$3="Walk-in"),SUMIFS('Income Source'!$C$5:$C$65,'Income Source'!$B$5:$B$65,A38),0)))</f>
        <v>0</v>
      </c>
      <c r="C38" s="29" t="n">
        <f aca="false">IF(A38="","",IF(COUNTIFS('Income Source'!$B$5:$B$65,A38)=0,"",IF(OR($Q$3="All",$Q$3="Colonie"),SUMIFS('Income Source'!$D$5:$D$65,'Income Source'!$B$5:$B$65,A38),0)))</f>
        <v>660</v>
      </c>
      <c r="D38" s="29" t="n">
        <f aca="false">IF(A38="","",IF(COUNTIFS('Income Source'!$B$5:$B$65,A38)=0,"",IF(OR($Q$3="All",$Q$3="Birthday"),SUMIFS('Income Source'!$E$5:$E$65,'Income Source'!$B$5:$B$65,A38),0)))</f>
        <v>0</v>
      </c>
      <c r="E38" s="29" t="n">
        <f aca="false">IF(A38="","",IF(COUNTIFS('Income Source'!$B$5:$B$65,A38)=0,"",SUM(B38:D38)))</f>
        <v>660</v>
      </c>
      <c r="F38" s="29" t="n">
        <f aca="false">IF(A38="","",SUMIFS('Expense Source'!$M$5:$M$178,'Expense Source'!$D$5:$D$178,A38,'Expense Source'!$U$5:$U$178,1))</f>
        <v>0</v>
      </c>
      <c r="G38" s="29" t="n">
        <f aca="false">IF(A38="","",IF(COUNTIFS('Income Source'!$B$5:$B$65,A38)=0,"",IF($Q$3="All",SUMIFS('Income Source'!$G$5:$G$65,'Income Source'!$B$5:$B$65,A38),SUM(B38:D38))))</f>
        <v>660</v>
      </c>
      <c r="H38" s="29" t="n">
        <f aca="false">IF(A38="","",IF(COUNTIFS('Income Source'!$B$5:$B$65,A38)=0,"",G38-F38))</f>
        <v>660</v>
      </c>
      <c r="I38" s="30" t="n">
        <f aca="false">IF(OR(A38="",COUNTIFS('Income Source'!$B$5:$B$65,A38)=0,G38=0),"",H38/G38)</f>
        <v>1</v>
      </c>
      <c r="J38" s="1" t="str">
        <f aca="false">IF(A38="","",IF(COUNTIFS('Income Source'!$B$5:$B$65,A38)=0,"Revenue source missing",IF(ABS(E38-G38)&gt;0.005,"Income/revenue mismatch","OK")))</f>
        <v>OK</v>
      </c>
      <c r="X38" s="3"/>
      <c r="Y38" s="3"/>
      <c r="Z38" s="3"/>
      <c r="AA38" s="3"/>
      <c r="AB38" s="3" t="s">
        <v>92</v>
      </c>
      <c r="AC38" s="3"/>
    </row>
    <row r="39" customFormat="false" ht="15" hidden="false" customHeight="false" outlineLevel="0" collapsed="false">
      <c r="A39" s="28" t="n">
        <f aca="false">IF($B$3="All",46226,IF(22&lt;31,IF($B$3="July 2026",46204,46235)+22,""))</f>
        <v>46226</v>
      </c>
      <c r="B39" s="29" t="n">
        <f aca="false">IF(A39="","",IF(COUNTIFS('Income Source'!$B$5:$B$65,A39)=0,"",IF(OR($Q$3="All",$Q$3="Walk-in"),SUMIFS('Income Source'!$C$5:$C$65,'Income Source'!$B$5:$B$65,A39),0)))</f>
        <v>0</v>
      </c>
      <c r="C39" s="29" t="n">
        <f aca="false">IF(A39="","",IF(COUNTIFS('Income Source'!$B$5:$B$65,A39)=0,"",IF(OR($Q$3="All",$Q$3="Colonie"),SUMIFS('Income Source'!$D$5:$D$65,'Income Source'!$B$5:$B$65,A39),0)))</f>
        <v>0</v>
      </c>
      <c r="D39" s="29" t="n">
        <f aca="false">IF(A39="","",IF(COUNTIFS('Income Source'!$B$5:$B$65,A39)=0,"",IF(OR($Q$3="All",$Q$3="Birthday"),SUMIFS('Income Source'!$E$5:$E$65,'Income Source'!$B$5:$B$65,A39),0)))</f>
        <v>0</v>
      </c>
      <c r="E39" s="29" t="n">
        <f aca="false">IF(A39="","",IF(COUNTIFS('Income Source'!$B$5:$B$65,A39)=0,"",SUM(B39:D39)))</f>
        <v>0</v>
      </c>
      <c r="F39" s="29" t="n">
        <f aca="false">IF(A39="","",SUMIFS('Expense Source'!$M$5:$M$178,'Expense Source'!$D$5:$D$178,A39,'Expense Source'!$U$5:$U$178,1))</f>
        <v>93.51</v>
      </c>
      <c r="G39" s="29" t="n">
        <f aca="false">IF(A39="","",IF(COUNTIFS('Income Source'!$B$5:$B$65,A39)=0,"",IF($Q$3="All",SUMIFS('Income Source'!$G$5:$G$65,'Income Source'!$B$5:$B$65,A39),SUM(B39:D39))))</f>
        <v>0</v>
      </c>
      <c r="H39" s="29" t="n">
        <f aca="false">IF(A39="","",IF(COUNTIFS('Income Source'!$B$5:$B$65,A39)=0,"",G39-F39))</f>
        <v>-93.51</v>
      </c>
      <c r="I39" s="30" t="str">
        <f aca="false">IF(OR(A39="",COUNTIFS('Income Source'!$B$5:$B$65,A39)=0,G39=0),"",H39/G39)</f>
        <v/>
      </c>
      <c r="J39" s="1" t="str">
        <f aca="false">IF(A39="","",IF(COUNTIFS('Income Source'!$B$5:$B$65,A39)=0,"Revenue source missing",IF(ABS(E39-G39)&gt;0.005,"Income/revenue mismatch","OK")))</f>
        <v>OK</v>
      </c>
      <c r="X39" s="3"/>
      <c r="Y39" s="3"/>
      <c r="Z39" s="3"/>
      <c r="AA39" s="3"/>
      <c r="AB39" s="3"/>
      <c r="AC39" s="3"/>
    </row>
    <row r="40" customFormat="false" ht="15" hidden="false" customHeight="false" outlineLevel="0" collapsed="false">
      <c r="A40" s="28" t="n">
        <f aca="false">IF($B$3="All",46227,IF(23&lt;31,IF($B$3="July 2026",46204,46235)+23,""))</f>
        <v>46227</v>
      </c>
      <c r="B40" s="29" t="n">
        <f aca="false">IF(A40="","",IF(COUNTIFS('Income Source'!$B$5:$B$65,A40)=0,"",IF(OR($Q$3="All",$Q$3="Walk-in"),SUMIFS('Income Source'!$C$5:$C$65,'Income Source'!$B$5:$B$65,A40),0)))</f>
        <v>228</v>
      </c>
      <c r="C40" s="29" t="n">
        <f aca="false">IF(A40="","",IF(COUNTIFS('Income Source'!$B$5:$B$65,A40)=0,"",IF(OR($Q$3="All",$Q$3="Colonie"),SUMIFS('Income Source'!$D$5:$D$65,'Income Source'!$B$5:$B$65,A40),0)))</f>
        <v>0</v>
      </c>
      <c r="D40" s="29" t="n">
        <f aca="false">IF(A40="","",IF(COUNTIFS('Income Source'!$B$5:$B$65,A40)=0,"",IF(OR($Q$3="All",$Q$3="Birthday"),SUMIFS('Income Source'!$E$5:$E$65,'Income Source'!$B$5:$B$65,A40),0)))</f>
        <v>450</v>
      </c>
      <c r="E40" s="29" t="n">
        <f aca="false">IF(A40="","",IF(COUNTIFS('Income Source'!$B$5:$B$65,A40)=0,"",SUM(B40:D40)))</f>
        <v>678</v>
      </c>
      <c r="F40" s="29" t="n">
        <f aca="false">IF(A40="","",SUMIFS('Expense Source'!$M$5:$M$178,'Expense Source'!$D$5:$D$178,A40,'Expense Source'!$U$5:$U$178,1))</f>
        <v>348.934382022</v>
      </c>
      <c r="G40" s="29" t="n">
        <f aca="false">IF(A40="","",IF(COUNTIFS('Income Source'!$B$5:$B$65,A40)=0,"",IF($Q$3="All",SUMIFS('Income Source'!$G$5:$G$65,'Income Source'!$B$5:$B$65,A40),SUM(B40:D40))))</f>
        <v>678</v>
      </c>
      <c r="H40" s="29" t="n">
        <f aca="false">IF(A40="","",IF(COUNTIFS('Income Source'!$B$5:$B$65,A40)=0,"",G40-F40))</f>
        <v>329.065617978</v>
      </c>
      <c r="I40" s="30" t="n">
        <f aca="false">IF(OR(A40="",COUNTIFS('Income Source'!$B$5:$B$65,A40)=0,G40=0),"",H40/G40)</f>
        <v>0.485347519141593</v>
      </c>
      <c r="J40" s="1" t="str">
        <f aca="false">IF(A40="","",IF(COUNTIFS('Income Source'!$B$5:$B$65,A40)=0,"Revenue source missing",IF(ABS(E40-G40)&gt;0.005,"Income/revenue mismatch","OK")))</f>
        <v>OK</v>
      </c>
      <c r="X40" s="3"/>
      <c r="Y40" s="3"/>
      <c r="Z40" s="3"/>
      <c r="AA40" s="3"/>
      <c r="AB40" s="3"/>
      <c r="AC40" s="3"/>
    </row>
    <row r="41" customFormat="false" ht="15" hidden="false" customHeight="false" outlineLevel="0" collapsed="false">
      <c r="A41" s="28" t="n">
        <f aca="false">IF($B$3="All",46228,IF(24&lt;31,IF($B$3="July 2026",46204,46235)+24,""))</f>
        <v>46228</v>
      </c>
      <c r="B41" s="29" t="n">
        <f aca="false">IF(A41="","",IF(COUNTIFS('Income Source'!$B$5:$B$65,A41)=0,"",IF(OR($Q$3="All",$Q$3="Walk-in"),SUMIFS('Income Source'!$C$5:$C$65,'Income Source'!$B$5:$B$65,A41),0)))</f>
        <v>191</v>
      </c>
      <c r="C41" s="29" t="n">
        <f aca="false">IF(A41="","",IF(COUNTIFS('Income Source'!$B$5:$B$65,A41)=0,"",IF(OR($Q$3="All",$Q$3="Colonie"),SUMIFS('Income Source'!$D$5:$D$65,'Income Source'!$B$5:$B$65,A41),0)))</f>
        <v>0</v>
      </c>
      <c r="D41" s="29" t="n">
        <f aca="false">IF(A41="","",IF(COUNTIFS('Income Source'!$B$5:$B$65,A41)=0,"",IF(OR($Q$3="All",$Q$3="Birthday"),SUMIFS('Income Source'!$E$5:$E$65,'Income Source'!$B$5:$B$65,A41),0)))</f>
        <v>650</v>
      </c>
      <c r="E41" s="29" t="n">
        <f aca="false">IF(A41="","",IF(COUNTIFS('Income Source'!$B$5:$B$65,A41)=0,"",SUM(B41:D41)))</f>
        <v>841</v>
      </c>
      <c r="F41" s="29" t="n">
        <f aca="false">IF(A41="","",SUMIFS('Expense Source'!$M$5:$M$178,'Expense Source'!$D$5:$D$178,A41,'Expense Source'!$U$5:$U$178,1))</f>
        <v>351.8894382</v>
      </c>
      <c r="G41" s="29" t="n">
        <f aca="false">IF(A41="","",IF(COUNTIFS('Income Source'!$B$5:$B$65,A41)=0,"",IF($Q$3="All",SUMIFS('Income Source'!$G$5:$G$65,'Income Source'!$B$5:$B$65,A41),SUM(B41:D41))))</f>
        <v>841</v>
      </c>
      <c r="H41" s="29" t="n">
        <f aca="false">IF(A41="","",IF(COUNTIFS('Income Source'!$B$5:$B$65,A41)=0,"",G41-F41))</f>
        <v>489.1105618</v>
      </c>
      <c r="I41" s="30" t="n">
        <f aca="false">IF(OR(A41="",COUNTIFS('Income Source'!$B$5:$B$65,A41)=0,G41=0),"",H41/G41)</f>
        <v>0.581582118668252</v>
      </c>
      <c r="J41" s="1" t="str">
        <f aca="false">IF(A41="","",IF(COUNTIFS('Income Source'!$B$5:$B$65,A41)=0,"Revenue source missing",IF(ABS(E41-G41)&gt;0.005,"Income/revenue mismatch","OK")))</f>
        <v>OK</v>
      </c>
      <c r="X41" s="3"/>
      <c r="Y41" s="3"/>
      <c r="Z41" s="3"/>
      <c r="AA41" s="3"/>
      <c r="AB41" s="3"/>
      <c r="AC41" s="3"/>
    </row>
    <row r="42" customFormat="false" ht="15" hidden="false" customHeight="false" outlineLevel="0" collapsed="false">
      <c r="A42" s="28" t="n">
        <f aca="false">IF($B$3="All",46229,IF(25&lt;31,IF($B$3="July 2026",46204,46235)+25,""))</f>
        <v>46229</v>
      </c>
      <c r="B42" s="29" t="n">
        <f aca="false">IF(A42="","",IF(COUNTIFS('Income Source'!$B$5:$B$65,A42)=0,"",IF(OR($Q$3="All",$Q$3="Walk-in"),SUMIFS('Income Source'!$C$5:$C$65,'Income Source'!$B$5:$B$65,A42),0)))</f>
        <v>0</v>
      </c>
      <c r="C42" s="29" t="n">
        <f aca="false">IF(A42="","",IF(COUNTIFS('Income Source'!$B$5:$B$65,A42)=0,"",IF(OR($Q$3="All",$Q$3="Colonie"),SUMIFS('Income Source'!$D$5:$D$65,'Income Source'!$B$5:$B$65,A42),0)))</f>
        <v>0</v>
      </c>
      <c r="D42" s="29" t="n">
        <f aca="false">IF(A42="","",IF(COUNTIFS('Income Source'!$B$5:$B$65,A42)=0,"",IF(OR($Q$3="All",$Q$3="Birthday"),SUMIFS('Income Source'!$E$5:$E$65,'Income Source'!$B$5:$B$65,A42),0)))</f>
        <v>1690</v>
      </c>
      <c r="E42" s="29" t="n">
        <f aca="false">IF(A42="","",IF(COUNTIFS('Income Source'!$B$5:$B$65,A42)=0,"",SUM(B42:D42)))</f>
        <v>1690</v>
      </c>
      <c r="F42" s="29" t="n">
        <f aca="false">IF(A42="","",SUMIFS('Expense Source'!$M$5:$M$178,'Expense Source'!$D$5:$D$178,A42,'Expense Source'!$U$5:$U$178,1))</f>
        <v>0</v>
      </c>
      <c r="G42" s="29" t="n">
        <f aca="false">IF(A42="","",IF(COUNTIFS('Income Source'!$B$5:$B$65,A42)=0,"",IF($Q$3="All",SUMIFS('Income Source'!$G$5:$G$65,'Income Source'!$B$5:$B$65,A42),SUM(B42:D42))))</f>
        <v>1690</v>
      </c>
      <c r="H42" s="29" t="n">
        <f aca="false">IF(A42="","",IF(COUNTIFS('Income Source'!$B$5:$B$65,A42)=0,"",G42-F42))</f>
        <v>1690</v>
      </c>
      <c r="I42" s="30" t="n">
        <f aca="false">IF(OR(A42="",COUNTIFS('Income Source'!$B$5:$B$65,A42)=0,G42=0),"",H42/G42)</f>
        <v>1</v>
      </c>
      <c r="J42" s="1" t="str">
        <f aca="false">IF(A42="","",IF(COUNTIFS('Income Source'!$B$5:$B$65,A42)=0,"Revenue source missing",IF(ABS(E42-G42)&gt;0.005,"Income/revenue mismatch","OK")))</f>
        <v>OK</v>
      </c>
      <c r="X42" s="3"/>
      <c r="Y42" s="3"/>
      <c r="Z42" s="3"/>
      <c r="AA42" s="3"/>
      <c r="AB42" s="3"/>
      <c r="AC42" s="3"/>
    </row>
    <row r="43" customFormat="false" ht="15" hidden="false" customHeight="false" outlineLevel="0" collapsed="false">
      <c r="A43" s="28" t="n">
        <f aca="false">IF($B$3="All",46230,IF(26&lt;31,IF($B$3="July 2026",46204,46235)+26,""))</f>
        <v>46230</v>
      </c>
      <c r="B43" s="29" t="n">
        <f aca="false">IF(A43="","",IF(COUNTIFS('Income Source'!$B$5:$B$65,A43)=0,"",IF(OR($Q$3="All",$Q$3="Walk-in"),SUMIFS('Income Source'!$C$5:$C$65,'Income Source'!$B$5:$B$65,A43),0)))</f>
        <v>0</v>
      </c>
      <c r="C43" s="29" t="n">
        <f aca="false">IF(A43="","",IF(COUNTIFS('Income Source'!$B$5:$B$65,A43)=0,"",IF(OR($Q$3="All",$Q$3="Colonie"),SUMIFS('Income Source'!$D$5:$D$65,'Income Source'!$B$5:$B$65,A43),0)))</f>
        <v>0</v>
      </c>
      <c r="D43" s="29" t="n">
        <f aca="false">IF(A43="","",IF(COUNTIFS('Income Source'!$B$5:$B$65,A43)=0,"",IF(OR($Q$3="All",$Q$3="Birthday"),SUMIFS('Income Source'!$E$5:$E$65,'Income Source'!$B$5:$B$65,A43),0)))</f>
        <v>1477</v>
      </c>
      <c r="E43" s="29" t="n">
        <f aca="false">IF(A43="","",IF(COUNTIFS('Income Source'!$B$5:$B$65,A43)=0,"",SUM(B43:D43)))</f>
        <v>1477</v>
      </c>
      <c r="F43" s="29" t="n">
        <f aca="false">IF(A43="","",SUMIFS('Expense Source'!$M$5:$M$178,'Expense Source'!$D$5:$D$178,A43,'Expense Source'!$U$5:$U$178,1))</f>
        <v>948.5</v>
      </c>
      <c r="G43" s="29" t="n">
        <f aca="false">IF(A43="","",IF(COUNTIFS('Income Source'!$B$5:$B$65,A43)=0,"",IF($Q$3="All",SUMIFS('Income Source'!$G$5:$G$65,'Income Source'!$B$5:$B$65,A43),SUM(B43:D43))))</f>
        <v>1477</v>
      </c>
      <c r="H43" s="29" t="n">
        <f aca="false">IF(A43="","",IF(COUNTIFS('Income Source'!$B$5:$B$65,A43)=0,"",G43-F43))</f>
        <v>528.5</v>
      </c>
      <c r="I43" s="30" t="n">
        <f aca="false">IF(OR(A43="",COUNTIFS('Income Source'!$B$5:$B$65,A43)=0,G43=0),"",H43/G43)</f>
        <v>0.35781990521327</v>
      </c>
      <c r="J43" s="1" t="str">
        <f aca="false">IF(A43="","",IF(COUNTIFS('Income Source'!$B$5:$B$65,A43)=0,"Revenue source missing",IF(ABS(E43-G43)&gt;0.005,"Income/revenue mismatch","OK")))</f>
        <v>OK</v>
      </c>
      <c r="X43" s="3"/>
      <c r="Y43" s="3"/>
      <c r="Z43" s="3"/>
      <c r="AA43" s="3"/>
      <c r="AB43" s="3"/>
      <c r="AC43" s="3"/>
    </row>
    <row r="44" customFormat="false" ht="15" hidden="false" customHeight="false" outlineLevel="0" collapsed="false">
      <c r="A44" s="28" t="n">
        <f aca="false">IF($B$3="All",46231,IF(27&lt;31,IF($B$3="July 2026",46204,46235)+27,""))</f>
        <v>46231</v>
      </c>
      <c r="B44" s="29" t="n">
        <f aca="false">IF(A44="","",IF(COUNTIFS('Income Source'!$B$5:$B$65,A44)=0,"",IF(OR($Q$3="All",$Q$3="Walk-in"),SUMIFS('Income Source'!$C$5:$C$65,'Income Source'!$B$5:$B$65,A44),0)))</f>
        <v>0</v>
      </c>
      <c r="C44" s="29" t="n">
        <f aca="false">IF(A44="","",IF(COUNTIFS('Income Source'!$B$5:$B$65,A44)=0,"",IF(OR($Q$3="All",$Q$3="Colonie"),SUMIFS('Income Source'!$D$5:$D$65,'Income Source'!$B$5:$B$65,A44),0)))</f>
        <v>204</v>
      </c>
      <c r="D44" s="29" t="n">
        <f aca="false">IF(A44="","",IF(COUNTIFS('Income Source'!$B$5:$B$65,A44)=0,"",IF(OR($Q$3="All",$Q$3="Birthday"),SUMIFS('Income Source'!$E$5:$E$65,'Income Source'!$B$5:$B$65,A44),0)))</f>
        <v>0</v>
      </c>
      <c r="E44" s="29" t="n">
        <f aca="false">IF(A44="","",IF(COUNTIFS('Income Source'!$B$5:$B$65,A44)=0,"",SUM(B44:D44)))</f>
        <v>204</v>
      </c>
      <c r="F44" s="29" t="n">
        <f aca="false">IF(A44="","",SUMIFS('Expense Source'!$M$5:$M$178,'Expense Source'!$D$5:$D$178,A44,'Expense Source'!$U$5:$U$178,1))</f>
        <v>0</v>
      </c>
      <c r="G44" s="29" t="n">
        <f aca="false">IF(A44="","",IF(COUNTIFS('Income Source'!$B$5:$B$65,A44)=0,"",IF($Q$3="All",SUMIFS('Income Source'!$G$5:$G$65,'Income Source'!$B$5:$B$65,A44),SUM(B44:D44))))</f>
        <v>204</v>
      </c>
      <c r="H44" s="29" t="n">
        <f aca="false">IF(A44="","",IF(COUNTIFS('Income Source'!$B$5:$B$65,A44)=0,"",G44-F44))</f>
        <v>204</v>
      </c>
      <c r="I44" s="30" t="n">
        <f aca="false">IF(OR(A44="",COUNTIFS('Income Source'!$B$5:$B$65,A44)=0,G44=0),"",H44/G44)</f>
        <v>1</v>
      </c>
      <c r="J44" s="1" t="str">
        <f aca="false">IF(A44="","",IF(COUNTIFS('Income Source'!$B$5:$B$65,A44)=0,"Revenue source missing",IF(ABS(E44-G44)&gt;0.005,"Income/revenue mismatch","OK")))</f>
        <v>OK</v>
      </c>
      <c r="X44" s="3"/>
      <c r="Y44" s="3"/>
      <c r="Z44" s="3"/>
      <c r="AA44" s="3"/>
      <c r="AB44" s="3"/>
      <c r="AC44" s="3"/>
    </row>
    <row r="45" customFormat="false" ht="15" hidden="false" customHeight="false" outlineLevel="0" collapsed="false">
      <c r="A45" s="28" t="n">
        <f aca="false">IF($B$3="All",46232,IF(28&lt;31,IF($B$3="July 2026",46204,46235)+28,""))</f>
        <v>46232</v>
      </c>
      <c r="B45" s="29" t="n">
        <f aca="false">IF(A45="","",IF(COUNTIFS('Income Source'!$B$5:$B$65,A45)=0,"",IF(OR($Q$3="All",$Q$3="Walk-in"),SUMIFS('Income Source'!$C$5:$C$65,'Income Source'!$B$5:$B$65,A45),0)))</f>
        <v>0</v>
      </c>
      <c r="C45" s="29" t="n">
        <f aca="false">IF(A45="","",IF(COUNTIFS('Income Source'!$B$5:$B$65,A45)=0,"",IF(OR($Q$3="All",$Q$3="Colonie"),SUMIFS('Income Source'!$D$5:$D$65,'Income Source'!$B$5:$B$65,A45),0)))</f>
        <v>0</v>
      </c>
      <c r="D45" s="29" t="n">
        <f aca="false">IF(A45="","",IF(COUNTIFS('Income Source'!$B$5:$B$65,A45)=0,"",IF(OR($Q$3="All",$Q$3="Birthday"),SUMIFS('Income Source'!$E$5:$E$65,'Income Source'!$B$5:$B$65,A45),0)))</f>
        <v>950</v>
      </c>
      <c r="E45" s="29" t="n">
        <f aca="false">IF(A45="","",IF(COUNTIFS('Income Source'!$B$5:$B$65,A45)=0,"",SUM(B45:D45)))</f>
        <v>950</v>
      </c>
      <c r="F45" s="29" t="n">
        <f aca="false">IF(A45="","",SUMIFS('Expense Source'!$M$5:$M$178,'Expense Source'!$D$5:$D$178,A45,'Expense Source'!$U$5:$U$178,1))</f>
        <v>253.74</v>
      </c>
      <c r="G45" s="29" t="n">
        <f aca="false">IF(A45="","",IF(COUNTIFS('Income Source'!$B$5:$B$65,A45)=0,"",IF($Q$3="All",SUMIFS('Income Source'!$G$5:$G$65,'Income Source'!$B$5:$B$65,A45),SUM(B45:D45))))</f>
        <v>950</v>
      </c>
      <c r="H45" s="29" t="n">
        <f aca="false">IF(A45="","",IF(COUNTIFS('Income Source'!$B$5:$B$65,A45)=0,"",G45-F45))</f>
        <v>696.26</v>
      </c>
      <c r="I45" s="30" t="n">
        <f aca="false">IF(OR(A45="",COUNTIFS('Income Source'!$B$5:$B$65,A45)=0,G45=0),"",H45/G45)</f>
        <v>0.732905263157895</v>
      </c>
      <c r="J45" s="1" t="str">
        <f aca="false">IF(A45="","",IF(COUNTIFS('Income Source'!$B$5:$B$65,A45)=0,"Revenue source missing",IF(ABS(E45-G45)&gt;0.005,"Income/revenue mismatch","OK")))</f>
        <v>OK</v>
      </c>
      <c r="X45" s="3"/>
      <c r="Y45" s="3"/>
      <c r="Z45" s="3"/>
      <c r="AA45" s="3"/>
      <c r="AB45" s="3"/>
      <c r="AC45" s="3"/>
    </row>
    <row r="46" customFormat="false" ht="15" hidden="false" customHeight="false" outlineLevel="0" collapsed="false">
      <c r="A46" s="28" t="n">
        <f aca="false">IF($B$3="All",46233,IF(29&lt;31,IF($B$3="July 2026",46204,46235)+29,""))</f>
        <v>46233</v>
      </c>
      <c r="B46" s="29" t="n">
        <f aca="false">IF(A46="","",IF(COUNTIFS('Income Source'!$B$5:$B$65,A46)=0,"",IF(OR($Q$3="All",$Q$3="Walk-in"),SUMIFS('Income Source'!$C$5:$C$65,'Income Source'!$B$5:$B$65,A46),0)))</f>
        <v>0</v>
      </c>
      <c r="C46" s="29" t="n">
        <f aca="false">IF(A46="","",IF(COUNTIFS('Income Source'!$B$5:$B$65,A46)=0,"",IF(OR($Q$3="All",$Q$3="Colonie"),SUMIFS('Income Source'!$D$5:$D$65,'Income Source'!$B$5:$B$65,A46),0)))</f>
        <v>228</v>
      </c>
      <c r="D46" s="29" t="n">
        <f aca="false">IF(A46="","",IF(COUNTIFS('Income Source'!$B$5:$B$65,A46)=0,"",IF(OR($Q$3="All",$Q$3="Birthday"),SUMIFS('Income Source'!$E$5:$E$65,'Income Source'!$B$5:$B$65,A46),0)))</f>
        <v>0</v>
      </c>
      <c r="E46" s="29" t="n">
        <f aca="false">IF(A46="","",IF(COUNTIFS('Income Source'!$B$5:$B$65,A46)=0,"",SUM(B46:D46)))</f>
        <v>228</v>
      </c>
      <c r="F46" s="29" t="n">
        <f aca="false">IF(A46="","",SUMIFS('Expense Source'!$M$5:$M$178,'Expense Source'!$D$5:$D$178,A46,'Expense Source'!$U$5:$U$178,1))</f>
        <v>0</v>
      </c>
      <c r="G46" s="29" t="n">
        <f aca="false">IF(A46="","",IF(COUNTIFS('Income Source'!$B$5:$B$65,A46)=0,"",IF($Q$3="All",SUMIFS('Income Source'!$G$5:$G$65,'Income Source'!$B$5:$B$65,A46),SUM(B46:D46))))</f>
        <v>228</v>
      </c>
      <c r="H46" s="29" t="n">
        <f aca="false">IF(A46="","",IF(COUNTIFS('Income Source'!$B$5:$B$65,A46)=0,"",G46-F46))</f>
        <v>228</v>
      </c>
      <c r="I46" s="30" t="n">
        <f aca="false">IF(OR(A46="",COUNTIFS('Income Source'!$B$5:$B$65,A46)=0,G46=0),"",H46/G46)</f>
        <v>1</v>
      </c>
      <c r="J46" s="1" t="str">
        <f aca="false">IF(A46="","",IF(COUNTIFS('Income Source'!$B$5:$B$65,A46)=0,"Revenue source missing",IF(ABS(E46-G46)&gt;0.005,"Income/revenue mismatch","OK")))</f>
        <v>OK</v>
      </c>
      <c r="X46" s="3"/>
      <c r="Y46" s="3"/>
      <c r="Z46" s="3"/>
      <c r="AA46" s="3"/>
      <c r="AB46" s="3"/>
      <c r="AC46" s="3"/>
    </row>
    <row r="47" customFormat="false" ht="15" hidden="false" customHeight="false" outlineLevel="0" collapsed="false">
      <c r="A47" s="28" t="n">
        <f aca="false">IF($B$3="All",46234,IF(30&lt;31,IF($B$3="July 2026",46204,46235)+30,""))</f>
        <v>46234</v>
      </c>
      <c r="B47" s="29" t="n">
        <f aca="false">IF(A47="","",IF(COUNTIFS('Income Source'!$B$5:$B$65,A47)=0,"",IF(OR($Q$3="All",$Q$3="Walk-in"),SUMIFS('Income Source'!$C$5:$C$65,'Income Source'!$B$5:$B$65,A47),0)))</f>
        <v>166</v>
      </c>
      <c r="C47" s="29" t="n">
        <f aca="false">IF(A47="","",IF(COUNTIFS('Income Source'!$B$5:$B$65,A47)=0,"",IF(OR($Q$3="All",$Q$3="Colonie"),SUMIFS('Income Source'!$D$5:$D$65,'Income Source'!$B$5:$B$65,A47),0)))</f>
        <v>336</v>
      </c>
      <c r="D47" s="29" t="n">
        <f aca="false">IF(A47="","",IF(COUNTIFS('Income Source'!$B$5:$B$65,A47)=0,"",IF(OR($Q$3="All",$Q$3="Birthday"),SUMIFS('Income Source'!$E$5:$E$65,'Income Source'!$B$5:$B$65,A47),0)))</f>
        <v>185</v>
      </c>
      <c r="E47" s="29" t="n">
        <f aca="false">IF(A47="","",IF(COUNTIFS('Income Source'!$B$5:$B$65,A47)=0,"",SUM(B47:D47)))</f>
        <v>687</v>
      </c>
      <c r="F47" s="29" t="n">
        <f aca="false">IF(A47="","",SUMIFS('Expense Source'!$M$5:$M$178,'Expense Source'!$D$5:$D$178,A47,'Expense Source'!$U$5:$U$178,1))</f>
        <v>98.08</v>
      </c>
      <c r="G47" s="29" t="n">
        <f aca="false">IF(A47="","",IF(COUNTIFS('Income Source'!$B$5:$B$65,A47)=0,"",IF($Q$3="All",SUMIFS('Income Source'!$G$5:$G$65,'Income Source'!$B$5:$B$65,A47),SUM(B47:D47))))</f>
        <v>687</v>
      </c>
      <c r="H47" s="29" t="n">
        <f aca="false">IF(A47="","",IF(COUNTIFS('Income Source'!$B$5:$B$65,A47)=0,"",G47-F47))</f>
        <v>588.92</v>
      </c>
      <c r="I47" s="30" t="n">
        <f aca="false">IF(OR(A47="",COUNTIFS('Income Source'!$B$5:$B$65,A47)=0,G47=0),"",H47/G47)</f>
        <v>0.857234352256186</v>
      </c>
      <c r="J47" s="1" t="str">
        <f aca="false">IF(A47="","",IF(COUNTIFS('Income Source'!$B$5:$B$65,A47)=0,"Revenue source missing",IF(ABS(E47-G47)&gt;0.005,"Income/revenue mismatch","OK")))</f>
        <v>OK</v>
      </c>
      <c r="X47" s="3"/>
      <c r="Y47" s="3"/>
      <c r="Z47" s="3"/>
      <c r="AA47" s="3"/>
      <c r="AB47" s="3"/>
      <c r="AC47" s="3"/>
    </row>
    <row r="48" customFormat="false" ht="15" hidden="false" customHeight="false" outlineLevel="0" collapsed="false">
      <c r="A48" s="28" t="n">
        <f aca="false">IF($B$3="All",46235,IF(31&lt;31,IF($B$3="July 2026",46204,46235)+31,""))</f>
        <v>46235</v>
      </c>
      <c r="B48" s="29" t="n">
        <f aca="false">IF(A48="","",IF(COUNTIFS('Income Source'!$B$5:$B$65,A48)=0,"",IF(OR($Q$3="All",$Q$3="Walk-in"),SUMIFS('Income Source'!$C$5:$C$65,'Income Source'!$B$5:$B$65,A48),0)))</f>
        <v>250</v>
      </c>
      <c r="C48" s="29" t="n">
        <f aca="false">IF(A48="","",IF(COUNTIFS('Income Source'!$B$5:$B$65,A48)=0,"",IF(OR($Q$3="All",$Q$3="Colonie"),SUMIFS('Income Source'!$D$5:$D$65,'Income Source'!$B$5:$B$65,A48),0)))</f>
        <v>0</v>
      </c>
      <c r="D48" s="29" t="n">
        <f aca="false">IF(A48="","",IF(COUNTIFS('Income Source'!$B$5:$B$65,A48)=0,"",IF(OR($Q$3="All",$Q$3="Birthday"),SUMIFS('Income Source'!$E$5:$E$65,'Income Source'!$B$5:$B$65,A48),0)))</f>
        <v>945</v>
      </c>
      <c r="E48" s="29" t="n">
        <f aca="false">IF(A48="","",IF(COUNTIFS('Income Source'!$B$5:$B$65,A48)=0,"",SUM(B48:D48)))</f>
        <v>1195</v>
      </c>
      <c r="F48" s="29" t="n">
        <f aca="false">IF(A48="","",SUMIFS('Expense Source'!$M$5:$M$178,'Expense Source'!$D$5:$D$178,A48,'Expense Source'!$U$5:$U$178,1))</f>
        <v>0</v>
      </c>
      <c r="G48" s="29" t="n">
        <f aca="false">IF(A48="","",IF(COUNTIFS('Income Source'!$B$5:$B$65,A48)=0,"",IF($Q$3="All",SUMIFS('Income Source'!$G$5:$G$65,'Income Source'!$B$5:$B$65,A48),SUM(B48:D48))))</f>
        <v>1195</v>
      </c>
      <c r="H48" s="29" t="n">
        <f aca="false">IF(A48="","",IF(COUNTIFS('Income Source'!$B$5:$B$65,A48)=0,"",G48-F48))</f>
        <v>1195</v>
      </c>
      <c r="I48" s="30" t="n">
        <f aca="false">IF(OR(A48="",COUNTIFS('Income Source'!$B$5:$B$65,A48)=0,G48=0),"",H48/G48)</f>
        <v>1</v>
      </c>
      <c r="J48" s="1" t="str">
        <f aca="false">IF(A48="","",IF(COUNTIFS('Income Source'!$B$5:$B$65,A48)=0,"Revenue source missing",IF(ABS(E48-G48)&gt;0.005,"Income/revenue mismatch","OK")))</f>
        <v>OK</v>
      </c>
      <c r="X48" s="3"/>
      <c r="Y48" s="3"/>
      <c r="Z48" s="3"/>
      <c r="AA48" s="3"/>
      <c r="AB48" s="3"/>
      <c r="AC48" s="3"/>
    </row>
    <row r="49" customFormat="false" ht="15" hidden="false" customHeight="false" outlineLevel="0" collapsed="false">
      <c r="A49" s="28" t="n">
        <f aca="false">IF($B$3="All",46236,IF(32&lt;31,IF($B$3="July 2026",46204,46235)+32,""))</f>
        <v>46236</v>
      </c>
      <c r="B49" s="29" t="n">
        <f aca="false">IF(A49="","",IF(COUNTIFS('Income Source'!$B$5:$B$65,A49)=0,"",IF(OR($Q$3="All",$Q$3="Walk-in"),SUMIFS('Income Source'!$C$5:$C$65,'Income Source'!$B$5:$B$65,A49),0)))</f>
        <v>785</v>
      </c>
      <c r="C49" s="29" t="n">
        <f aca="false">IF(A49="","",IF(COUNTIFS('Income Source'!$B$5:$B$65,A49)=0,"",IF(OR($Q$3="All",$Q$3="Colonie"),SUMIFS('Income Source'!$D$5:$D$65,'Income Source'!$B$5:$B$65,A49),0)))</f>
        <v>0</v>
      </c>
      <c r="D49" s="29" t="n">
        <f aca="false">IF(A49="","",IF(COUNTIFS('Income Source'!$B$5:$B$65,A49)=0,"",IF(OR($Q$3="All",$Q$3="Birthday"),SUMIFS('Income Source'!$E$5:$E$65,'Income Source'!$B$5:$B$65,A49),0)))</f>
        <v>0</v>
      </c>
      <c r="E49" s="29" t="n">
        <f aca="false">IF(A49="","",IF(COUNTIFS('Income Source'!$B$5:$B$65,A49)=0,"",SUM(B49:D49)))</f>
        <v>785</v>
      </c>
      <c r="F49" s="29" t="n">
        <f aca="false">IF(A49="","",SUMIFS('Expense Source'!$M$5:$M$178,'Expense Source'!$D$5:$D$178,A49,'Expense Source'!$U$5:$U$178,1))</f>
        <v>102.601986267166</v>
      </c>
      <c r="G49" s="29" t="n">
        <f aca="false">IF(A49="","",IF(COUNTIFS('Income Source'!$B$5:$B$65,A49)=0,"",IF($Q$3="All",SUMIFS('Income Source'!$G$5:$G$65,'Income Source'!$B$5:$B$65,A49),SUM(B49:D49))))</f>
        <v>785</v>
      </c>
      <c r="H49" s="29" t="n">
        <f aca="false">IF(A49="","",IF(COUNTIFS('Income Source'!$B$5:$B$65,A49)=0,"",G49-F49))</f>
        <v>682.398013732834</v>
      </c>
      <c r="I49" s="30" t="n">
        <f aca="false">IF(OR(A49="",COUNTIFS('Income Source'!$B$5:$B$65,A49)=0,G49=0),"",H49/G49)</f>
        <v>0.86929683278068</v>
      </c>
      <c r="J49" s="1" t="str">
        <f aca="false">IF(A49="","",IF(COUNTIFS('Income Source'!$B$5:$B$65,A49)=0,"Revenue source missing",IF(ABS(E49-G49)&gt;0.005,"Income/revenue mismatch","OK")))</f>
        <v>OK</v>
      </c>
      <c r="X49" s="3"/>
      <c r="Y49" s="3"/>
      <c r="Z49" s="3"/>
      <c r="AA49" s="3"/>
      <c r="AB49" s="3"/>
      <c r="AC49" s="3"/>
    </row>
    <row r="50" customFormat="false" ht="15" hidden="false" customHeight="false" outlineLevel="0" collapsed="false">
      <c r="A50" s="28" t="n">
        <f aca="false">IF($B$3="All",46237,IF(33&lt;31,IF($B$3="July 2026",46204,46235)+33,""))</f>
        <v>46237</v>
      </c>
      <c r="B50" s="29" t="n">
        <f aca="false">IF(A50="","",IF(COUNTIFS('Income Source'!$B$5:$B$65,A50)=0,"",IF(OR($Q$3="All",$Q$3="Walk-in"),SUMIFS('Income Source'!$C$5:$C$65,'Income Source'!$B$5:$B$65,A50),0)))</f>
        <v>0</v>
      </c>
      <c r="C50" s="29" t="n">
        <f aca="false">IF(A50="","",IF(COUNTIFS('Income Source'!$B$5:$B$65,A50)=0,"",IF(OR($Q$3="All",$Q$3="Colonie"),SUMIFS('Income Source'!$D$5:$D$65,'Income Source'!$B$5:$B$65,A50),0)))</f>
        <v>0</v>
      </c>
      <c r="D50" s="29" t="n">
        <f aca="false">IF(A50="","",IF(COUNTIFS('Income Source'!$B$5:$B$65,A50)=0,"",IF(OR($Q$3="All",$Q$3="Birthday"),SUMIFS('Income Source'!$E$5:$E$65,'Income Source'!$B$5:$B$65,A50),0)))</f>
        <v>0</v>
      </c>
      <c r="E50" s="29" t="n">
        <f aca="false">IF(A50="","",IF(COUNTIFS('Income Source'!$B$5:$B$65,A50)=0,"",SUM(B50:D50)))</f>
        <v>0</v>
      </c>
      <c r="F50" s="29" t="n">
        <f aca="false">IF(A50="","",SUMIFS('Expense Source'!$M$5:$M$178,'Expense Source'!$D$5:$D$178,A50,'Expense Source'!$U$5:$U$178,1))</f>
        <v>0</v>
      </c>
      <c r="G50" s="29" t="n">
        <f aca="false">IF(A50="","",IF(COUNTIFS('Income Source'!$B$5:$B$65,A50)=0,"",IF($Q$3="All",SUMIFS('Income Source'!$G$5:$G$65,'Income Source'!$B$5:$B$65,A50),SUM(B50:D50))))</f>
        <v>0</v>
      </c>
      <c r="H50" s="29" t="n">
        <f aca="false">IF(A50="","",IF(COUNTIFS('Income Source'!$B$5:$B$65,A50)=0,"",G50-F50))</f>
        <v>0</v>
      </c>
      <c r="I50" s="30" t="str">
        <f aca="false">IF(OR(A50="",COUNTIFS('Income Source'!$B$5:$B$65,A50)=0,G50=0),"",H50/G50)</f>
        <v/>
      </c>
      <c r="J50" s="1" t="str">
        <f aca="false">IF(A50="","",IF(COUNTIFS('Income Source'!$B$5:$B$65,A50)=0,"Revenue source missing",IF(ABS(E50-G50)&gt;0.005,"Income/revenue mismatch","OK")))</f>
        <v>OK</v>
      </c>
      <c r="X50" s="3"/>
      <c r="Y50" s="3"/>
      <c r="Z50" s="3"/>
      <c r="AA50" s="3"/>
      <c r="AB50" s="3"/>
      <c r="AC50" s="3"/>
    </row>
    <row r="51" customFormat="false" ht="15" hidden="false" customHeight="false" outlineLevel="0" collapsed="false">
      <c r="A51" s="28" t="n">
        <f aca="false">IF($B$3="All",46238,IF(34&lt;31,IF($B$3="July 2026",46204,46235)+34,""))</f>
        <v>46238</v>
      </c>
      <c r="B51" s="29" t="n">
        <f aca="false">IF(A51="","",IF(COUNTIFS('Income Source'!$B$5:$B$65,A51)=0,"",IF(OR($Q$3="All",$Q$3="Walk-in"),SUMIFS('Income Source'!$C$5:$C$65,'Income Source'!$B$5:$B$65,A51),0)))</f>
        <v>0</v>
      </c>
      <c r="C51" s="29" t="n">
        <f aca="false">IF(A51="","",IF(COUNTIFS('Income Source'!$B$5:$B$65,A51)=0,"",IF(OR($Q$3="All",$Q$3="Colonie"),SUMIFS('Income Source'!$D$5:$D$65,'Income Source'!$B$5:$B$65,A51),0)))</f>
        <v>0</v>
      </c>
      <c r="D51" s="29" t="n">
        <f aca="false">IF(A51="","",IF(COUNTIFS('Income Source'!$B$5:$B$65,A51)=0,"",IF(OR($Q$3="All",$Q$3="Birthday"),SUMIFS('Income Source'!$E$5:$E$65,'Income Source'!$B$5:$B$65,A51),0)))</f>
        <v>0</v>
      </c>
      <c r="E51" s="29" t="n">
        <f aca="false">IF(A51="","",IF(COUNTIFS('Income Source'!$B$5:$B$65,A51)=0,"",SUM(B51:D51)))</f>
        <v>0</v>
      </c>
      <c r="F51" s="29" t="n">
        <f aca="false">IF(A51="","",SUMIFS('Expense Source'!$M$5:$M$178,'Expense Source'!$D$5:$D$178,A51,'Expense Source'!$U$5:$U$178,1))</f>
        <v>0</v>
      </c>
      <c r="G51" s="29" t="n">
        <f aca="false">IF(A51="","",IF(COUNTIFS('Income Source'!$B$5:$B$65,A51)=0,"",IF($Q$3="All",SUMIFS('Income Source'!$G$5:$G$65,'Income Source'!$B$5:$B$65,A51),SUM(B51:D51))))</f>
        <v>0</v>
      </c>
      <c r="H51" s="29" t="n">
        <f aca="false">IF(A51="","",IF(COUNTIFS('Income Source'!$B$5:$B$65,A51)=0,"",G51-F51))</f>
        <v>0</v>
      </c>
      <c r="I51" s="30" t="str">
        <f aca="false">IF(OR(A51="",COUNTIFS('Income Source'!$B$5:$B$65,A51)=0,G51=0),"",H51/G51)</f>
        <v/>
      </c>
      <c r="J51" s="1" t="str">
        <f aca="false">IF(A51="","",IF(COUNTIFS('Income Source'!$B$5:$B$65,A51)=0,"Revenue source missing",IF(ABS(E51-G51)&gt;0.005,"Income/revenue mismatch","OK")))</f>
        <v>OK</v>
      </c>
      <c r="X51" s="3"/>
      <c r="Y51" s="3"/>
      <c r="Z51" s="3"/>
      <c r="AA51" s="3"/>
      <c r="AB51" s="3"/>
      <c r="AC51" s="3"/>
    </row>
    <row r="52" customFormat="false" ht="15" hidden="false" customHeight="false" outlineLevel="0" collapsed="false">
      <c r="A52" s="28" t="n">
        <f aca="false">IF($B$3="All",46239,IF(35&lt;31,IF($B$3="July 2026",46204,46235)+35,""))</f>
        <v>46239</v>
      </c>
      <c r="B52" s="29" t="n">
        <f aca="false">IF(A52="","",IF(COUNTIFS('Income Source'!$B$5:$B$65,A52)=0,"",IF(OR($Q$3="All",$Q$3="Walk-in"),SUMIFS('Income Source'!$C$5:$C$65,'Income Source'!$B$5:$B$65,A52),0)))</f>
        <v>0</v>
      </c>
      <c r="C52" s="29" t="n">
        <f aca="false">IF(A52="","",IF(COUNTIFS('Income Source'!$B$5:$B$65,A52)=0,"",IF(OR($Q$3="All",$Q$3="Colonie"),SUMIFS('Income Source'!$D$5:$D$65,'Income Source'!$B$5:$B$65,A52),0)))</f>
        <v>388</v>
      </c>
      <c r="D52" s="29" t="n">
        <f aca="false">IF(A52="","",IF(COUNTIFS('Income Source'!$B$5:$B$65,A52)=0,"",IF(OR($Q$3="All",$Q$3="Birthday"),SUMIFS('Income Source'!$E$5:$E$65,'Income Source'!$B$5:$B$65,A52),0)))</f>
        <v>0</v>
      </c>
      <c r="E52" s="29" t="n">
        <f aca="false">IF(A52="","",IF(COUNTIFS('Income Source'!$B$5:$B$65,A52)=0,"",SUM(B52:D52)))</f>
        <v>388</v>
      </c>
      <c r="F52" s="29" t="n">
        <f aca="false">IF(A52="","",SUMIFS('Expense Source'!$M$5:$M$178,'Expense Source'!$D$5:$D$178,A52,'Expense Source'!$U$5:$U$178,1))</f>
        <v>0</v>
      </c>
      <c r="G52" s="29" t="n">
        <f aca="false">IF(A52="","",IF(COUNTIFS('Income Source'!$B$5:$B$65,A52)=0,"",IF($Q$3="All",SUMIFS('Income Source'!$G$5:$G$65,'Income Source'!$B$5:$B$65,A52),SUM(B52:D52))))</f>
        <v>388</v>
      </c>
      <c r="H52" s="29" t="n">
        <f aca="false">IF(A52="","",IF(COUNTIFS('Income Source'!$B$5:$B$65,A52)=0,"",G52-F52))</f>
        <v>388</v>
      </c>
      <c r="I52" s="30" t="n">
        <f aca="false">IF(OR(A52="",COUNTIFS('Income Source'!$B$5:$B$65,A52)=0,G52=0),"",H52/G52)</f>
        <v>1</v>
      </c>
      <c r="J52" s="1" t="str">
        <f aca="false">IF(A52="","",IF(COUNTIFS('Income Source'!$B$5:$B$65,A52)=0,"Revenue source missing",IF(ABS(E52-G52)&gt;0.005,"Income/revenue mismatch","OK")))</f>
        <v>OK</v>
      </c>
      <c r="X52" s="3"/>
      <c r="Y52" s="3"/>
      <c r="Z52" s="3"/>
      <c r="AA52" s="3"/>
      <c r="AB52" s="3"/>
      <c r="AC52" s="3"/>
    </row>
    <row r="53" customFormat="false" ht="15" hidden="false" customHeight="false" outlineLevel="0" collapsed="false">
      <c r="A53" s="28" t="n">
        <f aca="false">IF($B$3="All",46240,IF(36&lt;31,IF($B$3="July 2026",46204,46235)+36,""))</f>
        <v>46240</v>
      </c>
      <c r="B53" s="29" t="n">
        <f aca="false">IF(A53="","",IF(COUNTIFS('Income Source'!$B$5:$B$65,A53)=0,"",IF(OR($Q$3="All",$Q$3="Walk-in"),SUMIFS('Income Source'!$C$5:$C$65,'Income Source'!$B$5:$B$65,A53),0)))</f>
        <v>0</v>
      </c>
      <c r="C53" s="29" t="n">
        <f aca="false">IF(A53="","",IF(COUNTIFS('Income Source'!$B$5:$B$65,A53)=0,"",IF(OR($Q$3="All",$Q$3="Colonie"),SUMIFS('Income Source'!$D$5:$D$65,'Income Source'!$B$5:$B$65,A53),0)))</f>
        <v>372</v>
      </c>
      <c r="D53" s="29" t="n">
        <f aca="false">IF(A53="","",IF(COUNTIFS('Income Source'!$B$5:$B$65,A53)=0,"",IF(OR($Q$3="All",$Q$3="Birthday"),SUMIFS('Income Source'!$E$5:$E$65,'Income Source'!$B$5:$B$65,A53),0)))</f>
        <v>0</v>
      </c>
      <c r="E53" s="29" t="n">
        <f aca="false">IF(A53="","",IF(COUNTIFS('Income Source'!$B$5:$B$65,A53)=0,"",SUM(B53:D53)))</f>
        <v>372</v>
      </c>
      <c r="F53" s="29" t="n">
        <f aca="false">IF(A53="","",SUMIFS('Expense Source'!$M$5:$M$178,'Expense Source'!$D$5:$D$178,A53,'Expense Source'!$U$5:$U$178,1))</f>
        <v>0</v>
      </c>
      <c r="G53" s="29" t="n">
        <f aca="false">IF(A53="","",IF(COUNTIFS('Income Source'!$B$5:$B$65,A53)=0,"",IF($Q$3="All",SUMIFS('Income Source'!$G$5:$G$65,'Income Source'!$B$5:$B$65,A53),SUM(B53:D53))))</f>
        <v>372</v>
      </c>
      <c r="H53" s="29" t="n">
        <f aca="false">IF(A53="","",IF(COUNTIFS('Income Source'!$B$5:$B$65,A53)=0,"",G53-F53))</f>
        <v>372</v>
      </c>
      <c r="I53" s="30" t="n">
        <f aca="false">IF(OR(A53="",COUNTIFS('Income Source'!$B$5:$B$65,A53)=0,G53=0),"",H53/G53)</f>
        <v>1</v>
      </c>
      <c r="J53" s="1" t="str">
        <f aca="false">IF(A53="","",IF(COUNTIFS('Income Source'!$B$5:$B$65,A53)=0,"Revenue source missing",IF(ABS(E53-G53)&gt;0.005,"Income/revenue mismatch","OK")))</f>
        <v>OK</v>
      </c>
      <c r="X53" s="3"/>
      <c r="Y53" s="3"/>
      <c r="Z53" s="3"/>
      <c r="AA53" s="3"/>
      <c r="AB53" s="3"/>
      <c r="AC53" s="3"/>
    </row>
    <row r="54" customFormat="false" ht="15" hidden="false" customHeight="false" outlineLevel="0" collapsed="false">
      <c r="A54" s="28" t="n">
        <f aca="false">IF($B$3="All",46241,IF(37&lt;31,IF($B$3="July 2026",46204,46235)+37,""))</f>
        <v>46241</v>
      </c>
      <c r="B54" s="29" t="n">
        <f aca="false">IF(A54="","",IF(COUNTIFS('Income Source'!$B$5:$B$65,A54)=0,"",IF(OR($Q$3="All",$Q$3="Walk-in"),SUMIFS('Income Source'!$C$5:$C$65,'Income Source'!$B$5:$B$65,A54),0)))</f>
        <v>0</v>
      </c>
      <c r="C54" s="29" t="n">
        <f aca="false">IF(A54="","",IF(COUNTIFS('Income Source'!$B$5:$B$65,A54)=0,"",IF(OR($Q$3="All",$Q$3="Colonie"),SUMIFS('Income Source'!$D$5:$D$65,'Income Source'!$B$5:$B$65,A54),0)))</f>
        <v>0</v>
      </c>
      <c r="D54" s="29" t="n">
        <f aca="false">IF(A54="","",IF(COUNTIFS('Income Source'!$B$5:$B$65,A54)=0,"",IF(OR($Q$3="All",$Q$3="Birthday"),SUMIFS('Income Source'!$E$5:$E$65,'Income Source'!$B$5:$B$65,A54),0)))</f>
        <v>0</v>
      </c>
      <c r="E54" s="29" t="n">
        <f aca="false">IF(A54="","",IF(COUNTIFS('Income Source'!$B$5:$B$65,A54)=0,"",SUM(B54:D54)))</f>
        <v>0</v>
      </c>
      <c r="F54" s="29" t="n">
        <f aca="false">IF(A54="","",SUMIFS('Expense Source'!$M$5:$M$178,'Expense Source'!$D$5:$D$178,A54,'Expense Source'!$U$5:$U$178,1))</f>
        <v>109.586516853933</v>
      </c>
      <c r="G54" s="29" t="n">
        <f aca="false">IF(A54="","",IF(COUNTIFS('Income Source'!$B$5:$B$65,A54)=0,"",IF($Q$3="All",SUMIFS('Income Source'!$G$5:$G$65,'Income Source'!$B$5:$B$65,A54),SUM(B54:D54))))</f>
        <v>0</v>
      </c>
      <c r="H54" s="29" t="n">
        <f aca="false">IF(A54="","",IF(COUNTIFS('Income Source'!$B$5:$B$65,A54)=0,"",G54-F54))</f>
        <v>-109.586516853933</v>
      </c>
      <c r="I54" s="30" t="str">
        <f aca="false">IF(OR(A54="",COUNTIFS('Income Source'!$B$5:$B$65,A54)=0,G54=0),"",H54/G54)</f>
        <v/>
      </c>
      <c r="J54" s="1" t="str">
        <f aca="false">IF(A54="","",IF(COUNTIFS('Income Source'!$B$5:$B$65,A54)=0,"Revenue source missing",IF(ABS(E54-G54)&gt;0.005,"Income/revenue mismatch","OK")))</f>
        <v>OK</v>
      </c>
      <c r="X54" s="3"/>
      <c r="Y54" s="3"/>
      <c r="Z54" s="3"/>
      <c r="AA54" s="3"/>
      <c r="AB54" s="3"/>
      <c r="AC54" s="3"/>
    </row>
    <row r="55" customFormat="false" ht="15" hidden="false" customHeight="false" outlineLevel="0" collapsed="false">
      <c r="A55" s="28" t="n">
        <f aca="false">IF($B$3="All",46242,IF(38&lt;31,IF($B$3="July 2026",46204,46235)+38,""))</f>
        <v>46242</v>
      </c>
      <c r="B55" s="29" t="n">
        <f aca="false">IF(A55="","",IF(COUNTIFS('Income Source'!$B$5:$B$65,A55)=0,"",IF(OR($Q$3="All",$Q$3="Walk-in"),SUMIFS('Income Source'!$C$5:$C$65,'Income Source'!$B$5:$B$65,A55),0)))</f>
        <v>250</v>
      </c>
      <c r="C55" s="29" t="n">
        <f aca="false">IF(A55="","",IF(COUNTIFS('Income Source'!$B$5:$B$65,A55)=0,"",IF(OR($Q$3="All",$Q$3="Colonie"),SUMIFS('Income Source'!$D$5:$D$65,'Income Source'!$B$5:$B$65,A55),0)))</f>
        <v>950</v>
      </c>
      <c r="D55" s="29" t="n">
        <f aca="false">IF(A55="","",IF(COUNTIFS('Income Source'!$B$5:$B$65,A55)=0,"",IF(OR($Q$3="All",$Q$3="Birthday"),SUMIFS('Income Source'!$E$5:$E$65,'Income Source'!$B$5:$B$65,A55),0)))</f>
        <v>0</v>
      </c>
      <c r="E55" s="29" t="n">
        <f aca="false">IF(A55="","",IF(COUNTIFS('Income Source'!$B$5:$B$65,A55)=0,"",SUM(B55:D55)))</f>
        <v>1200</v>
      </c>
      <c r="F55" s="29" t="n">
        <f aca="false">IF(A55="","",SUMIFS('Expense Source'!$M$5:$M$178,'Expense Source'!$D$5:$D$178,A55,'Expense Source'!$U$5:$U$178,1))</f>
        <v>207.562134831461</v>
      </c>
      <c r="G55" s="29" t="n">
        <f aca="false">IF(A55="","",IF(COUNTIFS('Income Source'!$B$5:$B$65,A55)=0,"",IF($Q$3="All",SUMIFS('Income Source'!$G$5:$G$65,'Income Source'!$B$5:$B$65,A55),SUM(B55:D55))))</f>
        <v>1200</v>
      </c>
      <c r="H55" s="29" t="n">
        <f aca="false">IF(A55="","",IF(COUNTIFS('Income Source'!$B$5:$B$65,A55)=0,"",G55-F55))</f>
        <v>992.437865168539</v>
      </c>
      <c r="I55" s="30" t="n">
        <f aca="false">IF(OR(A55="",COUNTIFS('Income Source'!$B$5:$B$65,A55)=0,G55=0),"",H55/G55)</f>
        <v>0.827031554307116</v>
      </c>
      <c r="J55" s="1" t="str">
        <f aca="false">IF(A55="","",IF(COUNTIFS('Income Source'!$B$5:$B$65,A55)=0,"Revenue source missing",IF(ABS(E55-G55)&gt;0.005,"Income/revenue mismatch","OK")))</f>
        <v>OK</v>
      </c>
      <c r="X55" s="3"/>
      <c r="Y55" s="3"/>
      <c r="Z55" s="3"/>
      <c r="AA55" s="3"/>
      <c r="AB55" s="3"/>
      <c r="AC55" s="3"/>
    </row>
    <row r="56" customFormat="false" ht="15" hidden="false" customHeight="false" outlineLevel="0" collapsed="false">
      <c r="A56" s="28" t="n">
        <f aca="false">IF($B$3="All",46243,IF(39&lt;31,IF($B$3="July 2026",46204,46235)+39,""))</f>
        <v>46243</v>
      </c>
      <c r="B56" s="29" t="n">
        <f aca="false">IF(A56="","",IF(COUNTIFS('Income Source'!$B$5:$B$65,A56)=0,"",IF(OR($Q$3="All",$Q$3="Walk-in"),SUMIFS('Income Source'!$C$5:$C$65,'Income Source'!$B$5:$B$65,A56),0)))</f>
        <v>415</v>
      </c>
      <c r="C56" s="29" t="n">
        <f aca="false">IF(A56="","",IF(COUNTIFS('Income Source'!$B$5:$B$65,A56)=0,"",IF(OR($Q$3="All",$Q$3="Colonie"),SUMIFS('Income Source'!$D$5:$D$65,'Income Source'!$B$5:$B$65,A56),0)))</f>
        <v>860</v>
      </c>
      <c r="D56" s="29" t="n">
        <f aca="false">IF(A56="","",IF(COUNTIFS('Income Source'!$B$5:$B$65,A56)=0,"",IF(OR($Q$3="All",$Q$3="Birthday"),SUMIFS('Income Source'!$E$5:$E$65,'Income Source'!$B$5:$B$65,A56),0)))</f>
        <v>0</v>
      </c>
      <c r="E56" s="29" t="n">
        <f aca="false">IF(A56="","",IF(COUNTIFS('Income Source'!$B$5:$B$65,A56)=0,"",SUM(B56:D56)))</f>
        <v>1275</v>
      </c>
      <c r="F56" s="29" t="n">
        <f aca="false">IF(A56="","",SUMIFS('Expense Source'!$M$5:$M$178,'Expense Source'!$D$5:$D$178,A56,'Expense Source'!$U$5:$U$178,1))</f>
        <v>206.025656679151</v>
      </c>
      <c r="G56" s="29" t="n">
        <f aca="false">IF(A56="","",IF(COUNTIFS('Income Source'!$B$5:$B$65,A56)=0,"",IF($Q$3="All",SUMIFS('Income Source'!$G$5:$G$65,'Income Source'!$B$5:$B$65,A56),SUM(B56:D56))))</f>
        <v>1275</v>
      </c>
      <c r="H56" s="29" t="n">
        <f aca="false">IF(A56="","",IF(COUNTIFS('Income Source'!$B$5:$B$65,A56)=0,"",G56-F56))</f>
        <v>1068.97434332085</v>
      </c>
      <c r="I56" s="30" t="n">
        <f aca="false">IF(OR(A56="",COUNTIFS('Income Source'!$B$5:$B$65,A56)=0,G56=0),"",H56/G56)</f>
        <v>0.838411249663411</v>
      </c>
      <c r="J56" s="1" t="str">
        <f aca="false">IF(A56="","",IF(COUNTIFS('Income Source'!$B$5:$B$65,A56)=0,"Revenue source missing",IF(ABS(E56-G56)&gt;0.005,"Income/revenue mismatch","OK")))</f>
        <v>OK</v>
      </c>
      <c r="X56" s="3"/>
      <c r="Y56" s="3"/>
      <c r="Z56" s="3"/>
      <c r="AA56" s="3"/>
      <c r="AB56" s="3"/>
      <c r="AC56" s="3"/>
    </row>
    <row r="57" customFormat="false" ht="15" hidden="false" customHeight="false" outlineLevel="0" collapsed="false">
      <c r="A57" s="28" t="n">
        <f aca="false">IF($B$3="All",46244,IF(40&lt;31,IF($B$3="July 2026",46204,46235)+40,""))</f>
        <v>46244</v>
      </c>
      <c r="B57" s="29" t="n">
        <f aca="false">IF(A57="","",IF(COUNTIFS('Income Source'!$B$5:$B$65,A57)=0,"",IF(OR($Q$3="All",$Q$3="Walk-in"),SUMIFS('Income Source'!$C$5:$C$65,'Income Source'!$B$5:$B$65,A57),0)))</f>
        <v>820</v>
      </c>
      <c r="C57" s="29" t="n">
        <f aca="false">IF(A57="","",IF(COUNTIFS('Income Source'!$B$5:$B$65,A57)=0,"",IF(OR($Q$3="All",$Q$3="Colonie"),SUMIFS('Income Source'!$D$5:$D$65,'Income Source'!$B$5:$B$65,A57),0)))</f>
        <v>400</v>
      </c>
      <c r="D57" s="29" t="n">
        <f aca="false">IF(A57="","",IF(COUNTIFS('Income Source'!$B$5:$B$65,A57)=0,"",IF(OR($Q$3="All",$Q$3="Birthday"),SUMIFS('Income Source'!$E$5:$E$65,'Income Source'!$B$5:$B$65,A57),0)))</f>
        <v>0</v>
      </c>
      <c r="E57" s="29" t="n">
        <f aca="false">IF(A57="","",IF(COUNTIFS('Income Source'!$B$5:$B$65,A57)=0,"",SUM(B57:D57)))</f>
        <v>1220</v>
      </c>
      <c r="F57" s="29" t="n">
        <f aca="false">IF(A57="","",SUMIFS('Expense Source'!$M$5:$M$178,'Expense Source'!$D$5:$D$178,A57,'Expense Source'!$U$5:$U$178,1))</f>
        <v>0</v>
      </c>
      <c r="G57" s="29" t="n">
        <f aca="false">IF(A57="","",IF(COUNTIFS('Income Source'!$B$5:$B$65,A57)=0,"",IF($Q$3="All",SUMIFS('Income Source'!$G$5:$G$65,'Income Source'!$B$5:$B$65,A57),SUM(B57:D57))))</f>
        <v>1220</v>
      </c>
      <c r="H57" s="29" t="n">
        <f aca="false">IF(A57="","",IF(COUNTIFS('Income Source'!$B$5:$B$65,A57)=0,"",G57-F57))</f>
        <v>1220</v>
      </c>
      <c r="I57" s="30" t="n">
        <f aca="false">IF(OR(A57="",COUNTIFS('Income Source'!$B$5:$B$65,A57)=0,G57=0),"",H57/G57)</f>
        <v>1</v>
      </c>
      <c r="J57" s="1" t="str">
        <f aca="false">IF(A57="","",IF(COUNTIFS('Income Source'!$B$5:$B$65,A57)=0,"Revenue source missing",IF(ABS(E57-G57)&gt;0.005,"Income/revenue mismatch","OK")))</f>
        <v>OK</v>
      </c>
      <c r="X57" s="3"/>
      <c r="Y57" s="3"/>
      <c r="Z57" s="3"/>
      <c r="AA57" s="3"/>
      <c r="AB57" s="3"/>
      <c r="AC57" s="3"/>
    </row>
    <row r="58" customFormat="false" ht="15" hidden="false" customHeight="false" outlineLevel="0" collapsed="false">
      <c r="A58" s="28" t="n">
        <f aca="false">IF($B$3="All",46245,IF(41&lt;31,IF($B$3="July 2026",46204,46235)+41,""))</f>
        <v>46245</v>
      </c>
      <c r="B58" s="29" t="n">
        <f aca="false">IF(A58="","",IF(COUNTIFS('Income Source'!$B$5:$B$65,A58)=0,"",IF(OR($Q$3="All",$Q$3="Walk-in"),SUMIFS('Income Source'!$C$5:$C$65,'Income Source'!$B$5:$B$65,A58),0)))</f>
        <v>0</v>
      </c>
      <c r="C58" s="29" t="n">
        <f aca="false">IF(A58="","",IF(COUNTIFS('Income Source'!$B$5:$B$65,A58)=0,"",IF(OR($Q$3="All",$Q$3="Colonie"),SUMIFS('Income Source'!$D$5:$D$65,'Income Source'!$B$5:$B$65,A58),0)))</f>
        <v>0</v>
      </c>
      <c r="D58" s="29" t="n">
        <f aca="false">IF(A58="","",IF(COUNTIFS('Income Source'!$B$5:$B$65,A58)=0,"",IF(OR($Q$3="All",$Q$3="Birthday"),SUMIFS('Income Source'!$E$5:$E$65,'Income Source'!$B$5:$B$65,A58),0)))</f>
        <v>0</v>
      </c>
      <c r="E58" s="29" t="n">
        <f aca="false">IF(A58="","",IF(COUNTIFS('Income Source'!$B$5:$B$65,A58)=0,"",SUM(B58:D58)))</f>
        <v>0</v>
      </c>
      <c r="F58" s="29" t="n">
        <f aca="false">IF(A58="","",SUMIFS('Expense Source'!$M$5:$M$178,'Expense Source'!$D$5:$D$178,A58,'Expense Source'!$U$5:$U$178,1))</f>
        <v>0</v>
      </c>
      <c r="G58" s="29" t="n">
        <f aca="false">IF(A58="","",IF(COUNTIFS('Income Source'!$B$5:$B$65,A58)=0,"",IF($Q$3="All",SUMIFS('Income Source'!$G$5:$G$65,'Income Source'!$B$5:$B$65,A58),SUM(B58:D58))))</f>
        <v>0</v>
      </c>
      <c r="H58" s="29" t="n">
        <f aca="false">IF(A58="","",IF(COUNTIFS('Income Source'!$B$5:$B$65,A58)=0,"",G58-F58))</f>
        <v>0</v>
      </c>
      <c r="I58" s="30" t="str">
        <f aca="false">IF(OR(A58="",COUNTIFS('Income Source'!$B$5:$B$65,A58)=0,G58=0),"",H58/G58)</f>
        <v/>
      </c>
      <c r="J58" s="1" t="str">
        <f aca="false">IF(A58="","",IF(COUNTIFS('Income Source'!$B$5:$B$65,A58)=0,"Revenue source missing",IF(ABS(E58-G58)&gt;0.005,"Income/revenue mismatch","OK")))</f>
        <v>OK</v>
      </c>
      <c r="X58" s="3"/>
      <c r="Y58" s="3"/>
      <c r="Z58" s="3"/>
      <c r="AA58" s="3"/>
      <c r="AB58" s="3"/>
      <c r="AC58" s="3"/>
    </row>
    <row r="59" customFormat="false" ht="15" hidden="false" customHeight="false" outlineLevel="0" collapsed="false">
      <c r="A59" s="28" t="n">
        <f aca="false">IF($B$3="All",46246,IF(42&lt;31,IF($B$3="July 2026",46204,46235)+42,""))</f>
        <v>46246</v>
      </c>
      <c r="B59" s="29" t="n">
        <f aca="false">IF(A59="","",IF(COUNTIFS('Income Source'!$B$5:$B$65,A59)=0,"",IF(OR($Q$3="All",$Q$3="Walk-in"),SUMIFS('Income Source'!$C$5:$C$65,'Income Source'!$B$5:$B$65,A59),0)))</f>
        <v>0</v>
      </c>
      <c r="C59" s="29" t="n">
        <f aca="false">IF(A59="","",IF(COUNTIFS('Income Source'!$B$5:$B$65,A59)=0,"",IF(OR($Q$3="All",$Q$3="Colonie"),SUMIFS('Income Source'!$D$5:$D$65,'Income Source'!$B$5:$B$65,A59),0)))</f>
        <v>0</v>
      </c>
      <c r="D59" s="29" t="n">
        <f aca="false">IF(A59="","",IF(COUNTIFS('Income Source'!$B$5:$B$65,A59)=0,"",IF(OR($Q$3="All",$Q$3="Birthday"),SUMIFS('Income Source'!$E$5:$E$65,'Income Source'!$B$5:$B$65,A59),0)))</f>
        <v>0</v>
      </c>
      <c r="E59" s="29" t="n">
        <f aca="false">IF(A59="","",IF(COUNTIFS('Income Source'!$B$5:$B$65,A59)=0,"",SUM(B59:D59)))</f>
        <v>0</v>
      </c>
      <c r="F59" s="29" t="n">
        <f aca="false">IF(A59="","",SUMIFS('Expense Source'!$M$5:$M$178,'Expense Source'!$D$5:$D$178,A59,'Expense Source'!$U$5:$U$178,1))</f>
        <v>520.630722222222</v>
      </c>
      <c r="G59" s="29" t="n">
        <f aca="false">IF(A59="","",IF(COUNTIFS('Income Source'!$B$5:$B$65,A59)=0,"",IF($Q$3="All",SUMIFS('Income Source'!$G$5:$G$65,'Income Source'!$B$5:$B$65,A59),SUM(B59:D59))))</f>
        <v>0</v>
      </c>
      <c r="H59" s="29" t="n">
        <f aca="false">IF(A59="","",IF(COUNTIFS('Income Source'!$B$5:$B$65,A59)=0,"",G59-F59))</f>
        <v>-520.630722222222</v>
      </c>
      <c r="I59" s="30" t="str">
        <f aca="false">IF(OR(A59="",COUNTIFS('Income Source'!$B$5:$B$65,A59)=0,G59=0),"",H59/G59)</f>
        <v/>
      </c>
      <c r="J59" s="1" t="str">
        <f aca="false">IF(A59="","",IF(COUNTIFS('Income Source'!$B$5:$B$65,A59)=0,"Revenue source missing",IF(ABS(E59-G59)&gt;0.005,"Income/revenue mismatch","OK")))</f>
        <v>OK</v>
      </c>
      <c r="X59" s="3"/>
      <c r="Y59" s="3"/>
      <c r="Z59" s="3"/>
      <c r="AA59" s="3"/>
      <c r="AB59" s="3"/>
      <c r="AC59" s="3"/>
    </row>
    <row r="60" customFormat="false" ht="15" hidden="false" customHeight="false" outlineLevel="0" collapsed="false">
      <c r="A60" s="28" t="n">
        <f aca="false">IF($B$3="All",46247,IF(43&lt;31,IF($B$3="July 2026",46204,46235)+43,""))</f>
        <v>46247</v>
      </c>
      <c r="B60" s="29" t="n">
        <f aca="false">IF(A60="","",IF(COUNTIFS('Income Source'!$B$5:$B$65,A60)=0,"",IF(OR($Q$3="All",$Q$3="Walk-in"),SUMIFS('Income Source'!$C$5:$C$65,'Income Source'!$B$5:$B$65,A60),0)))</f>
        <v>0</v>
      </c>
      <c r="C60" s="29" t="n">
        <f aca="false">IF(A60="","",IF(COUNTIFS('Income Source'!$B$5:$B$65,A60)=0,"",IF(OR($Q$3="All",$Q$3="Colonie"),SUMIFS('Income Source'!$D$5:$D$65,'Income Source'!$B$5:$B$65,A60),0)))</f>
        <v>0</v>
      </c>
      <c r="D60" s="29" t="n">
        <f aca="false">IF(A60="","",IF(COUNTIFS('Income Source'!$B$5:$B$65,A60)=0,"",IF(OR($Q$3="All",$Q$3="Birthday"),SUMIFS('Income Source'!$E$5:$E$65,'Income Source'!$B$5:$B$65,A60),0)))</f>
        <v>0</v>
      </c>
      <c r="E60" s="29" t="n">
        <f aca="false">IF(A60="","",IF(COUNTIFS('Income Source'!$B$5:$B$65,A60)=0,"",SUM(B60:D60)))</f>
        <v>0</v>
      </c>
      <c r="F60" s="29" t="n">
        <f aca="false">IF(A60="","",SUMIFS('Expense Source'!$M$5:$M$178,'Expense Source'!$D$5:$D$178,A60,'Expense Source'!$U$5:$U$178,1))</f>
        <v>31.7944444444445</v>
      </c>
      <c r="G60" s="29" t="n">
        <f aca="false">IF(A60="","",IF(COUNTIFS('Income Source'!$B$5:$B$65,A60)=0,"",IF($Q$3="All",SUMIFS('Income Source'!$G$5:$G$65,'Income Source'!$B$5:$B$65,A60),SUM(B60:D60))))</f>
        <v>0</v>
      </c>
      <c r="H60" s="29" t="n">
        <f aca="false">IF(A60="","",IF(COUNTIFS('Income Source'!$B$5:$B$65,A60)=0,"",G60-F60))</f>
        <v>-31.7944444444445</v>
      </c>
      <c r="I60" s="30" t="str">
        <f aca="false">IF(OR(A60="",COUNTIFS('Income Source'!$B$5:$B$65,A60)=0,G60=0),"",H60/G60)</f>
        <v/>
      </c>
      <c r="J60" s="1" t="str">
        <f aca="false">IF(A60="","",IF(COUNTIFS('Income Source'!$B$5:$B$65,A60)=0,"Revenue source missing",IF(ABS(E60-G60)&gt;0.005,"Income/revenue mismatch","OK")))</f>
        <v>OK</v>
      </c>
      <c r="X60" s="3"/>
      <c r="Y60" s="3"/>
      <c r="Z60" s="3"/>
      <c r="AA60" s="3"/>
      <c r="AB60" s="3"/>
      <c r="AC60" s="3"/>
    </row>
    <row r="61" customFormat="false" ht="15" hidden="false" customHeight="false" outlineLevel="0" collapsed="false">
      <c r="A61" s="28" t="n">
        <f aca="false">IF($B$3="All",46248,IF(44&lt;31,IF($B$3="July 2026",46204,46235)+44,""))</f>
        <v>46248</v>
      </c>
      <c r="B61" s="29" t="n">
        <f aca="false">IF(A61="","",IF(COUNTIFS('Income Source'!$B$5:$B$65,A61)=0,"",IF(OR($Q$3="All",$Q$3="Walk-in"),SUMIFS('Income Source'!$C$5:$C$65,'Income Source'!$B$5:$B$65,A61),0)))</f>
        <v>368</v>
      </c>
      <c r="C61" s="29" t="n">
        <f aca="false">IF(A61="","",IF(COUNTIFS('Income Source'!$B$5:$B$65,A61)=0,"",IF(OR($Q$3="All",$Q$3="Colonie"),SUMIFS('Income Source'!$D$5:$D$65,'Income Source'!$B$5:$B$65,A61),0)))</f>
        <v>300</v>
      </c>
      <c r="D61" s="29" t="n">
        <f aca="false">IF(A61="","",IF(COUNTIFS('Income Source'!$B$5:$B$65,A61)=0,"",IF(OR($Q$3="All",$Q$3="Birthday"),SUMIFS('Income Source'!$E$5:$E$65,'Income Source'!$B$5:$B$65,A61),0)))</f>
        <v>0</v>
      </c>
      <c r="E61" s="29" t="n">
        <f aca="false">IF(A61="","",IF(COUNTIFS('Income Source'!$B$5:$B$65,A61)=0,"",SUM(B61:D61)))</f>
        <v>668</v>
      </c>
      <c r="F61" s="29" t="n">
        <f aca="false">IF(A61="","",SUMIFS('Expense Source'!$M$5:$M$178,'Expense Source'!$D$5:$D$178,A61,'Expense Source'!$U$5:$U$178,1))</f>
        <v>0</v>
      </c>
      <c r="G61" s="29" t="n">
        <f aca="false">IF(A61="","",IF(COUNTIFS('Income Source'!$B$5:$B$65,A61)=0,"",IF($Q$3="All",SUMIFS('Income Source'!$G$5:$G$65,'Income Source'!$B$5:$B$65,A61),SUM(B61:D61))))</f>
        <v>668</v>
      </c>
      <c r="H61" s="29" t="n">
        <f aca="false">IF(A61="","",IF(COUNTIFS('Income Source'!$B$5:$B$65,A61)=0,"",G61-F61))</f>
        <v>668</v>
      </c>
      <c r="I61" s="30" t="n">
        <f aca="false">IF(OR(A61="",COUNTIFS('Income Source'!$B$5:$B$65,A61)=0,G61=0),"",H61/G61)</f>
        <v>1</v>
      </c>
      <c r="J61" s="1" t="str">
        <f aca="false">IF(A61="","",IF(COUNTIFS('Income Source'!$B$5:$B$65,A61)=0,"Revenue source missing",IF(ABS(E61-G61)&gt;0.005,"Income/revenue mismatch","OK")))</f>
        <v>OK</v>
      </c>
      <c r="X61" s="3"/>
      <c r="Y61" s="3"/>
      <c r="Z61" s="3"/>
      <c r="AA61" s="3"/>
      <c r="AB61" s="3"/>
      <c r="AC61" s="3"/>
    </row>
    <row r="62" customFormat="false" ht="15" hidden="false" customHeight="false" outlineLevel="0" collapsed="false">
      <c r="A62" s="28" t="n">
        <f aca="false">IF($B$3="All",46249,IF(45&lt;31,IF($B$3="July 2026",46204,46235)+45,""))</f>
        <v>46249</v>
      </c>
      <c r="B62" s="29" t="n">
        <f aca="false">IF(A62="","",IF(COUNTIFS('Income Source'!$B$5:$B$65,A62)=0,"",IF(OR($Q$3="All",$Q$3="Walk-in"),SUMIFS('Income Source'!$C$5:$C$65,'Income Source'!$B$5:$B$65,A62),0)))</f>
        <v>112</v>
      </c>
      <c r="C62" s="29" t="n">
        <f aca="false">IF(A62="","",IF(COUNTIFS('Income Source'!$B$5:$B$65,A62)=0,"",IF(OR($Q$3="All",$Q$3="Colonie"),SUMIFS('Income Source'!$D$5:$D$65,'Income Source'!$B$5:$B$65,A62),0)))</f>
        <v>723</v>
      </c>
      <c r="D62" s="29" t="n">
        <f aca="false">IF(A62="","",IF(COUNTIFS('Income Source'!$B$5:$B$65,A62)=0,"",IF(OR($Q$3="All",$Q$3="Birthday"),SUMIFS('Income Source'!$E$5:$E$65,'Income Source'!$B$5:$B$65,A62),0)))</f>
        <v>0</v>
      </c>
      <c r="E62" s="29" t="n">
        <f aca="false">IF(A62="","",IF(COUNTIFS('Income Source'!$B$5:$B$65,A62)=0,"",SUM(B62:D62)))</f>
        <v>835</v>
      </c>
      <c r="F62" s="29" t="n">
        <f aca="false">IF(A62="","",SUMIFS('Expense Source'!$M$5:$M$178,'Expense Source'!$D$5:$D$178,A62,'Expense Source'!$U$5:$U$178,1))</f>
        <v>180.336844444444</v>
      </c>
      <c r="G62" s="29" t="n">
        <f aca="false">IF(A62="","",IF(COUNTIFS('Income Source'!$B$5:$B$65,A62)=0,"",IF($Q$3="All",SUMIFS('Income Source'!$G$5:$G$65,'Income Source'!$B$5:$B$65,A62),SUM(B62:D62))))</f>
        <v>835</v>
      </c>
      <c r="H62" s="29" t="n">
        <f aca="false">IF(A62="","",IF(COUNTIFS('Income Source'!$B$5:$B$65,A62)=0,"",G62-F62))</f>
        <v>654.663155555556</v>
      </c>
      <c r="I62" s="30" t="n">
        <f aca="false">IF(OR(A62="",COUNTIFS('Income Source'!$B$5:$B$65,A62)=0,G62=0),"",H62/G62)</f>
        <v>0.784027731204259</v>
      </c>
      <c r="J62" s="1" t="str">
        <f aca="false">IF(A62="","",IF(COUNTIFS('Income Source'!$B$5:$B$65,A62)=0,"Revenue source missing",IF(ABS(E62-G62)&gt;0.005,"Income/revenue mismatch","OK")))</f>
        <v>OK</v>
      </c>
      <c r="X62" s="3"/>
      <c r="Y62" s="3"/>
      <c r="Z62" s="3"/>
      <c r="AA62" s="3"/>
      <c r="AB62" s="3"/>
      <c r="AC62" s="3"/>
    </row>
    <row r="63" customFormat="false" ht="15" hidden="false" customHeight="false" outlineLevel="0" collapsed="false">
      <c r="A63" s="28" t="n">
        <f aca="false">IF($B$3="All",46250,IF(46&lt;31,IF($B$3="July 2026",46204,46235)+46,""))</f>
        <v>46250</v>
      </c>
      <c r="B63" s="29" t="n">
        <f aca="false">IF(A63="","",IF(COUNTIFS('Income Source'!$B$5:$B$65,A63)=0,"",IF(OR($Q$3="All",$Q$3="Walk-in"),SUMIFS('Income Source'!$C$5:$C$65,'Income Source'!$B$5:$B$65,A63),0)))</f>
        <v>154</v>
      </c>
      <c r="C63" s="29" t="n">
        <f aca="false">IF(A63="","",IF(COUNTIFS('Income Source'!$B$5:$B$65,A63)=0,"",IF(OR($Q$3="All",$Q$3="Colonie"),SUMIFS('Income Source'!$D$5:$D$65,'Income Source'!$B$5:$B$65,A63),0)))</f>
        <v>0</v>
      </c>
      <c r="D63" s="29" t="n">
        <f aca="false">IF(A63="","",IF(COUNTIFS('Income Source'!$B$5:$B$65,A63)=0,"",IF(OR($Q$3="All",$Q$3="Birthday"),SUMIFS('Income Source'!$E$5:$E$65,'Income Source'!$B$5:$B$65,A63),0)))</f>
        <v>0</v>
      </c>
      <c r="E63" s="29" t="n">
        <f aca="false">IF(A63="","",IF(COUNTIFS('Income Source'!$B$5:$B$65,A63)=0,"",SUM(B63:D63)))</f>
        <v>154</v>
      </c>
      <c r="F63" s="29" t="n">
        <f aca="false">IF(A63="","",SUMIFS('Expense Source'!$M$5:$M$178,'Expense Source'!$D$5:$D$178,A63,'Expense Source'!$U$5:$U$178,1))</f>
        <v>13.8</v>
      </c>
      <c r="G63" s="29" t="n">
        <f aca="false">IF(A63="","",IF(COUNTIFS('Income Source'!$B$5:$B$65,A63)=0,"",IF($Q$3="All",SUMIFS('Income Source'!$G$5:$G$65,'Income Source'!$B$5:$B$65,A63),SUM(B63:D63))))</f>
        <v>154</v>
      </c>
      <c r="H63" s="29" t="n">
        <f aca="false">IF(A63="","",IF(COUNTIFS('Income Source'!$B$5:$B$65,A63)=0,"",G63-F63))</f>
        <v>140.2</v>
      </c>
      <c r="I63" s="30" t="n">
        <f aca="false">IF(OR(A63="",COUNTIFS('Income Source'!$B$5:$B$65,A63)=0,G63=0),"",H63/G63)</f>
        <v>0.91038961038961</v>
      </c>
      <c r="J63" s="1" t="str">
        <f aca="false">IF(A63="","",IF(COUNTIFS('Income Source'!$B$5:$B$65,A63)=0,"Revenue source missing",IF(ABS(E63-G63)&gt;0.005,"Income/revenue mismatch","OK")))</f>
        <v>OK</v>
      </c>
      <c r="X63" s="3"/>
      <c r="Y63" s="3"/>
      <c r="Z63" s="3"/>
      <c r="AA63" s="3"/>
      <c r="AB63" s="3"/>
      <c r="AC63" s="3"/>
    </row>
    <row r="64" customFormat="false" ht="15" hidden="false" customHeight="false" outlineLevel="0" collapsed="false">
      <c r="A64" s="28" t="n">
        <f aca="false">IF($B$3="All",46251,IF(47&lt;31,IF($B$3="July 2026",46204,46235)+47,""))</f>
        <v>46251</v>
      </c>
      <c r="B64" s="29" t="n">
        <f aca="false">IF(A64="","",IF(COUNTIFS('Income Source'!$B$5:$B$65,A64)=0,"",IF(OR($Q$3="All",$Q$3="Walk-in"),SUMIFS('Income Source'!$C$5:$C$65,'Income Source'!$B$5:$B$65,A64),0)))</f>
        <v>0</v>
      </c>
      <c r="C64" s="29" t="n">
        <f aca="false">IF(A64="","",IF(COUNTIFS('Income Source'!$B$5:$B$65,A64)=0,"",IF(OR($Q$3="All",$Q$3="Colonie"),SUMIFS('Income Source'!$D$5:$D$65,'Income Source'!$B$5:$B$65,A64),0)))</f>
        <v>560</v>
      </c>
      <c r="D64" s="29" t="n">
        <f aca="false">IF(A64="","",IF(COUNTIFS('Income Source'!$B$5:$B$65,A64)=0,"",IF(OR($Q$3="All",$Q$3="Birthday"),SUMIFS('Income Source'!$E$5:$E$65,'Income Source'!$B$5:$B$65,A64),0)))</f>
        <v>0</v>
      </c>
      <c r="E64" s="29" t="n">
        <f aca="false">IF(A64="","",IF(COUNTIFS('Income Source'!$B$5:$B$65,A64)=0,"",SUM(B64:D64)))</f>
        <v>560</v>
      </c>
      <c r="F64" s="29" t="n">
        <f aca="false">IF(A64="","",SUMIFS('Expense Source'!$M$5:$M$178,'Expense Source'!$D$5:$D$178,A64,'Expense Source'!$U$5:$U$178,1))</f>
        <v>5.83333333333333</v>
      </c>
      <c r="G64" s="29" t="n">
        <f aca="false">IF(A64="","",IF(COUNTIFS('Income Source'!$B$5:$B$65,A64)=0,"",IF($Q$3="All",SUMIFS('Income Source'!$G$5:$G$65,'Income Source'!$B$5:$B$65,A64),SUM(B64:D64))))</f>
        <v>560</v>
      </c>
      <c r="H64" s="29" t="n">
        <f aca="false">IF(A64="","",IF(COUNTIFS('Income Source'!$B$5:$B$65,A64)=0,"",G64-F64))</f>
        <v>554.166666666667</v>
      </c>
      <c r="I64" s="30" t="n">
        <f aca="false">IF(OR(A64="",COUNTIFS('Income Source'!$B$5:$B$65,A64)=0,G64=0),"",H64/G64)</f>
        <v>0.989583333333333</v>
      </c>
      <c r="J64" s="1" t="str">
        <f aca="false">IF(A64="","",IF(COUNTIFS('Income Source'!$B$5:$B$65,A64)=0,"Revenue source missing",IF(ABS(E64-G64)&gt;0.005,"Income/revenue mismatch","OK")))</f>
        <v>OK</v>
      </c>
      <c r="X64" s="3"/>
      <c r="Y64" s="3"/>
      <c r="Z64" s="3"/>
      <c r="AA64" s="3"/>
      <c r="AB64" s="3"/>
      <c r="AC64" s="3"/>
    </row>
    <row r="65" customFormat="false" ht="15" hidden="false" customHeight="false" outlineLevel="0" collapsed="false">
      <c r="A65" s="28" t="n">
        <f aca="false">IF($B$3="All",46252,IF(48&lt;31,IF($B$3="July 2026",46204,46235)+48,""))</f>
        <v>46252</v>
      </c>
      <c r="B65" s="29" t="n">
        <f aca="false">IF(A65="","",IF(COUNTIFS('Income Source'!$B$5:$B$65,A65)=0,"",IF(OR($Q$3="All",$Q$3="Walk-in"),SUMIFS('Income Source'!$C$5:$C$65,'Income Source'!$B$5:$B$65,A65),0)))</f>
        <v>0</v>
      </c>
      <c r="C65" s="29" t="n">
        <f aca="false">IF(A65="","",IF(COUNTIFS('Income Source'!$B$5:$B$65,A65)=0,"",IF(OR($Q$3="All",$Q$3="Colonie"),SUMIFS('Income Source'!$D$5:$D$65,'Income Source'!$B$5:$B$65,A65),0)))</f>
        <v>0</v>
      </c>
      <c r="D65" s="29" t="n">
        <f aca="false">IF(A65="","",IF(COUNTIFS('Income Source'!$B$5:$B$65,A65)=0,"",IF(OR($Q$3="All",$Q$3="Birthday"),SUMIFS('Income Source'!$E$5:$E$65,'Income Source'!$B$5:$B$65,A65),0)))</f>
        <v>717</v>
      </c>
      <c r="E65" s="29" t="n">
        <f aca="false">IF(A65="","",IF(COUNTIFS('Income Source'!$B$5:$B$65,A65)=0,"",SUM(B65:D65)))</f>
        <v>717</v>
      </c>
      <c r="F65" s="29" t="n">
        <f aca="false">IF(A65="","",SUMIFS('Expense Source'!$M$5:$M$178,'Expense Source'!$D$5:$D$178,A65,'Expense Source'!$U$5:$U$178,1))</f>
        <v>144.896330453184</v>
      </c>
      <c r="G65" s="29" t="n">
        <f aca="false">IF(A65="","",IF(COUNTIFS('Income Source'!$B$5:$B$65,A65)=0,"",IF($Q$3="All",SUMIFS('Income Source'!$G$5:$G$65,'Income Source'!$B$5:$B$65,A65),SUM(B65:D65))))</f>
        <v>717</v>
      </c>
      <c r="H65" s="29" t="n">
        <f aca="false">IF(A65="","",IF(COUNTIFS('Income Source'!$B$5:$B$65,A65)=0,"",G65-F65))</f>
        <v>572.103669546817</v>
      </c>
      <c r="I65" s="30" t="n">
        <f aca="false">IF(OR(A65="",COUNTIFS('Income Source'!$B$5:$B$65,A65)=0,G65=0),"",H65/G65)</f>
        <v>0.797913067708252</v>
      </c>
      <c r="J65" s="1" t="str">
        <f aca="false">IF(A65="","",IF(COUNTIFS('Income Source'!$B$5:$B$65,A65)=0,"Revenue source missing",IF(ABS(E65-G65)&gt;0.005,"Income/revenue mismatch","OK")))</f>
        <v>OK</v>
      </c>
      <c r="X65" s="3"/>
      <c r="Y65" s="3"/>
      <c r="Z65" s="3"/>
      <c r="AA65" s="3"/>
      <c r="AB65" s="3"/>
      <c r="AC65" s="3"/>
    </row>
    <row r="66" customFormat="false" ht="15" hidden="false" customHeight="false" outlineLevel="0" collapsed="false">
      <c r="A66" s="28" t="n">
        <f aca="false">IF($B$3="All",46253,IF(49&lt;31,IF($B$3="July 2026",46204,46235)+49,""))</f>
        <v>46253</v>
      </c>
      <c r="B66" s="29" t="n">
        <f aca="false">IF(A66="","",IF(COUNTIFS('Income Source'!$B$5:$B$65,A66)=0,"",IF(OR($Q$3="All",$Q$3="Walk-in"),SUMIFS('Income Source'!$C$5:$C$65,'Income Source'!$B$5:$B$65,A66),0)))</f>
        <v>0</v>
      </c>
      <c r="C66" s="29" t="n">
        <f aca="false">IF(A66="","",IF(COUNTIFS('Income Source'!$B$5:$B$65,A66)=0,"",IF(OR($Q$3="All",$Q$3="Colonie"),SUMIFS('Income Source'!$D$5:$D$65,'Income Source'!$B$5:$B$65,A66),0)))</f>
        <v>0</v>
      </c>
      <c r="D66" s="29" t="n">
        <f aca="false">IF(A66="","",IF(COUNTIFS('Income Source'!$B$5:$B$65,A66)=0,"",IF(OR($Q$3="All",$Q$3="Birthday"),SUMIFS('Income Source'!$E$5:$E$65,'Income Source'!$B$5:$B$65,A66),0)))</f>
        <v>0</v>
      </c>
      <c r="E66" s="29" t="n">
        <f aca="false">IF(A66="","",IF(COUNTIFS('Income Source'!$B$5:$B$65,A66)=0,"",SUM(B66:D66)))</f>
        <v>0</v>
      </c>
      <c r="F66" s="29" t="n">
        <f aca="false">IF(A66="","",SUMIFS('Expense Source'!$M$5:$M$178,'Expense Source'!$D$5:$D$178,A66,'Expense Source'!$U$5:$U$178,1))</f>
        <v>0</v>
      </c>
      <c r="G66" s="29" t="n">
        <f aca="false">IF(A66="","",IF(COUNTIFS('Income Source'!$B$5:$B$65,A66)=0,"",IF($Q$3="All",SUMIFS('Income Source'!$G$5:$G$65,'Income Source'!$B$5:$B$65,A66),SUM(B66:D66))))</f>
        <v>0</v>
      </c>
      <c r="H66" s="29" t="n">
        <f aca="false">IF(A66="","",IF(COUNTIFS('Income Source'!$B$5:$B$65,A66)=0,"",G66-F66))</f>
        <v>0</v>
      </c>
      <c r="I66" s="30" t="str">
        <f aca="false">IF(OR(A66="",COUNTIFS('Income Source'!$B$5:$B$65,A66)=0,G66=0),"",H66/G66)</f>
        <v/>
      </c>
      <c r="J66" s="1" t="str">
        <f aca="false">IF(A66="","",IF(COUNTIFS('Income Source'!$B$5:$B$65,A66)=0,"Revenue source missing",IF(ABS(E66-G66)&gt;0.005,"Income/revenue mismatch","OK")))</f>
        <v>OK</v>
      </c>
      <c r="X66" s="3"/>
      <c r="Y66" s="3"/>
      <c r="Z66" s="3"/>
      <c r="AA66" s="3"/>
      <c r="AB66" s="3"/>
      <c r="AC66" s="3"/>
    </row>
    <row r="67" customFormat="false" ht="15" hidden="false" customHeight="false" outlineLevel="0" collapsed="false">
      <c r="A67" s="28" t="n">
        <f aca="false">IF($B$3="All",46254,IF(50&lt;31,IF($B$3="July 2026",46204,46235)+50,""))</f>
        <v>46254</v>
      </c>
      <c r="B67" s="29" t="n">
        <f aca="false">IF(A67="","",IF(COUNTIFS('Income Source'!$B$5:$B$65,A67)=0,"",IF(OR($Q$3="All",$Q$3="Walk-in"),SUMIFS('Income Source'!$C$5:$C$65,'Income Source'!$B$5:$B$65,A67),0)))</f>
        <v>0</v>
      </c>
      <c r="C67" s="29" t="n">
        <f aca="false">IF(A67="","",IF(COUNTIFS('Income Source'!$B$5:$B$65,A67)=0,"",IF(OR($Q$3="All",$Q$3="Colonie"),SUMIFS('Income Source'!$D$5:$D$65,'Income Source'!$B$5:$B$65,A67),0)))</f>
        <v>0</v>
      </c>
      <c r="D67" s="29" t="n">
        <f aca="false">IF(A67="","",IF(COUNTIFS('Income Source'!$B$5:$B$65,A67)=0,"",IF(OR($Q$3="All",$Q$3="Birthday"),SUMIFS('Income Source'!$E$5:$E$65,'Income Source'!$B$5:$B$65,A67),0)))</f>
        <v>0</v>
      </c>
      <c r="E67" s="29" t="n">
        <f aca="false">IF(A67="","",IF(COUNTIFS('Income Source'!$B$5:$B$65,A67)=0,"",SUM(B67:D67)))</f>
        <v>0</v>
      </c>
      <c r="F67" s="29" t="n">
        <f aca="false">IF(A67="","",SUMIFS('Expense Source'!$M$5:$M$178,'Expense Source'!$D$5:$D$178,A67,'Expense Source'!$U$5:$U$178,1))</f>
        <v>0</v>
      </c>
      <c r="G67" s="29" t="n">
        <f aca="false">IF(A67="","",IF(COUNTIFS('Income Source'!$B$5:$B$65,A67)=0,"",IF($Q$3="All",SUMIFS('Income Source'!$G$5:$G$65,'Income Source'!$B$5:$B$65,A67),SUM(B67:D67))))</f>
        <v>0</v>
      </c>
      <c r="H67" s="29" t="n">
        <f aca="false">IF(A67="","",IF(COUNTIFS('Income Source'!$B$5:$B$65,A67)=0,"",G67-F67))</f>
        <v>0</v>
      </c>
      <c r="I67" s="30" t="str">
        <f aca="false">IF(OR(A67="",COUNTIFS('Income Source'!$B$5:$B$65,A67)=0,G67=0),"",H67/G67)</f>
        <v/>
      </c>
      <c r="J67" s="1" t="str">
        <f aca="false">IF(A67="","",IF(COUNTIFS('Income Source'!$B$5:$B$65,A67)=0,"Revenue source missing",IF(ABS(E67-G67)&gt;0.005,"Income/revenue mismatch","OK")))</f>
        <v>OK</v>
      </c>
      <c r="X67" s="3"/>
      <c r="Y67" s="3"/>
      <c r="Z67" s="3"/>
      <c r="AA67" s="3"/>
      <c r="AB67" s="3"/>
      <c r="AC67" s="3"/>
    </row>
    <row r="68" customFormat="false" ht="15" hidden="false" customHeight="false" outlineLevel="0" collapsed="false">
      <c r="A68" s="28" t="n">
        <f aca="false">IF($B$3="All",46255,IF(51&lt;31,IF($B$3="July 2026",46204,46235)+51,""))</f>
        <v>46255</v>
      </c>
      <c r="B68" s="29" t="n">
        <f aca="false">IF(A68="","",IF(COUNTIFS('Income Source'!$B$5:$B$65,A68)=0,"",IF(OR($Q$3="All",$Q$3="Walk-in"),SUMIFS('Income Source'!$C$5:$C$65,'Income Source'!$B$5:$B$65,A68),0)))</f>
        <v>538</v>
      </c>
      <c r="C68" s="29" t="n">
        <f aca="false">IF(A68="","",IF(COUNTIFS('Income Source'!$B$5:$B$65,A68)=0,"",IF(OR($Q$3="All",$Q$3="Colonie"),SUMIFS('Income Source'!$D$5:$D$65,'Income Source'!$B$5:$B$65,A68),0)))</f>
        <v>0</v>
      </c>
      <c r="D68" s="29" t="n">
        <f aca="false">IF(A68="","",IF(COUNTIFS('Income Source'!$B$5:$B$65,A68)=0,"",IF(OR($Q$3="All",$Q$3="Birthday"),SUMIFS('Income Source'!$E$5:$E$65,'Income Source'!$B$5:$B$65,A68),0)))</f>
        <v>600</v>
      </c>
      <c r="E68" s="29" t="n">
        <f aca="false">IF(A68="","",IF(COUNTIFS('Income Source'!$B$5:$B$65,A68)=0,"",SUM(B68:D68)))</f>
        <v>1138</v>
      </c>
      <c r="F68" s="29" t="n">
        <f aca="false">IF(A68="","",SUMIFS('Expense Source'!$M$5:$M$178,'Expense Source'!$D$5:$D$178,A68,'Expense Source'!$U$5:$U$178,1))</f>
        <v>0</v>
      </c>
      <c r="G68" s="29" t="n">
        <f aca="false">IF(A68="","",IF(COUNTIFS('Income Source'!$B$5:$B$65,A68)=0,"",IF($Q$3="All",SUMIFS('Income Source'!$G$5:$G$65,'Income Source'!$B$5:$B$65,A68),SUM(B68:D68))))</f>
        <v>1138</v>
      </c>
      <c r="H68" s="29" t="n">
        <f aca="false">IF(A68="","",IF(COUNTIFS('Income Source'!$B$5:$B$65,A68)=0,"",G68-F68))</f>
        <v>1138</v>
      </c>
      <c r="I68" s="30" t="n">
        <f aca="false">IF(OR(A68="",COUNTIFS('Income Source'!$B$5:$B$65,A68)=0,G68=0),"",H68/G68)</f>
        <v>1</v>
      </c>
      <c r="J68" s="1" t="str">
        <f aca="false">IF(A68="","",IF(COUNTIFS('Income Source'!$B$5:$B$65,A68)=0,"Revenue source missing",IF(ABS(E68-G68)&gt;0.005,"Income/revenue mismatch","OK")))</f>
        <v>OK</v>
      </c>
      <c r="X68" s="3"/>
      <c r="Y68" s="3"/>
      <c r="Z68" s="3"/>
      <c r="AA68" s="3"/>
      <c r="AB68" s="3"/>
      <c r="AC68" s="3"/>
    </row>
    <row r="69" customFormat="false" ht="15" hidden="false" customHeight="false" outlineLevel="0" collapsed="false">
      <c r="A69" s="28" t="n">
        <f aca="false">IF($B$3="All",46256,IF(52&lt;31,IF($B$3="July 2026",46204,46235)+52,""))</f>
        <v>46256</v>
      </c>
      <c r="B69" s="29" t="n">
        <f aca="false">IF(A69="","",IF(COUNTIFS('Income Source'!$B$5:$B$65,A69)=0,"",IF(OR($Q$3="All",$Q$3="Walk-in"),SUMIFS('Income Source'!$C$5:$C$65,'Income Source'!$B$5:$B$65,A69),0)))</f>
        <v>294</v>
      </c>
      <c r="C69" s="29" t="n">
        <f aca="false">IF(A69="","",IF(COUNTIFS('Income Source'!$B$5:$B$65,A69)=0,"",IF(OR($Q$3="All",$Q$3="Colonie"),SUMIFS('Income Source'!$D$5:$D$65,'Income Source'!$B$5:$B$65,A69),0)))</f>
        <v>0</v>
      </c>
      <c r="D69" s="29" t="n">
        <f aca="false">IF(A69="","",IF(COUNTIFS('Income Source'!$B$5:$B$65,A69)=0,"",IF(OR($Q$3="All",$Q$3="Birthday"),SUMIFS('Income Source'!$E$5:$E$65,'Income Source'!$B$5:$B$65,A69),0)))</f>
        <v>0</v>
      </c>
      <c r="E69" s="29" t="n">
        <f aca="false">IF(A69="","",IF(COUNTIFS('Income Source'!$B$5:$B$65,A69)=0,"",SUM(B69:D69)))</f>
        <v>294</v>
      </c>
      <c r="F69" s="29" t="n">
        <f aca="false">IF(A69="","",SUMIFS('Expense Source'!$M$5:$M$178,'Expense Source'!$D$5:$D$178,A69,'Expense Source'!$U$5:$U$178,1))</f>
        <v>0</v>
      </c>
      <c r="G69" s="29" t="n">
        <f aca="false">IF(A69="","",IF(COUNTIFS('Income Source'!$B$5:$B$65,A69)=0,"",IF($Q$3="All",SUMIFS('Income Source'!$G$5:$G$65,'Income Source'!$B$5:$B$65,A69),SUM(B69:D69))))</f>
        <v>294</v>
      </c>
      <c r="H69" s="29" t="n">
        <f aca="false">IF(A69="","",IF(COUNTIFS('Income Source'!$B$5:$B$65,A69)=0,"",G69-F69))</f>
        <v>294</v>
      </c>
      <c r="I69" s="30" t="n">
        <f aca="false">IF(OR(A69="",COUNTIFS('Income Source'!$B$5:$B$65,A69)=0,G69=0),"",H69/G69)</f>
        <v>1</v>
      </c>
      <c r="J69" s="1" t="str">
        <f aca="false">IF(A69="","",IF(COUNTIFS('Income Source'!$B$5:$B$65,A69)=0,"Revenue source missing",IF(ABS(E69-G69)&gt;0.005,"Income/revenue mismatch","OK")))</f>
        <v>OK</v>
      </c>
      <c r="X69" s="3"/>
      <c r="Y69" s="3"/>
      <c r="Z69" s="3"/>
      <c r="AA69" s="3"/>
      <c r="AB69" s="3"/>
      <c r="AC69" s="3"/>
    </row>
    <row r="70" customFormat="false" ht="15" hidden="false" customHeight="false" outlineLevel="0" collapsed="false">
      <c r="A70" s="28" t="n">
        <f aca="false">IF($B$3="All",46257,IF(53&lt;31,IF($B$3="July 2026",46204,46235)+53,""))</f>
        <v>46257</v>
      </c>
      <c r="B70" s="29" t="n">
        <f aca="false">IF(A70="","",IF(COUNTIFS('Income Source'!$B$5:$B$65,A70)=0,"",IF(OR($Q$3="All",$Q$3="Walk-in"),SUMIFS('Income Source'!$C$5:$C$65,'Income Source'!$B$5:$B$65,A70),0)))</f>
        <v>135</v>
      </c>
      <c r="C70" s="29" t="n">
        <f aca="false">IF(A70="","",IF(COUNTIFS('Income Source'!$B$5:$B$65,A70)=0,"",IF(OR($Q$3="All",$Q$3="Colonie"),SUMIFS('Income Source'!$D$5:$D$65,'Income Source'!$B$5:$B$65,A70),0)))</f>
        <v>0</v>
      </c>
      <c r="D70" s="29" t="n">
        <f aca="false">IF(A70="","",IF(COUNTIFS('Income Source'!$B$5:$B$65,A70)=0,"",IF(OR($Q$3="All",$Q$3="Birthday"),SUMIFS('Income Source'!$E$5:$E$65,'Income Source'!$B$5:$B$65,A70),0)))</f>
        <v>0</v>
      </c>
      <c r="E70" s="29" t="n">
        <f aca="false">IF(A70="","",IF(COUNTIFS('Income Source'!$B$5:$B$65,A70)=0,"",SUM(B70:D70)))</f>
        <v>135</v>
      </c>
      <c r="F70" s="29" t="n">
        <f aca="false">IF(A70="","",SUMIFS('Expense Source'!$M$5:$M$178,'Expense Source'!$D$5:$D$178,A70,'Expense Source'!$U$5:$U$178,1))</f>
        <v>0</v>
      </c>
      <c r="G70" s="29" t="n">
        <f aca="false">IF(A70="","",IF(COUNTIFS('Income Source'!$B$5:$B$65,A70)=0,"",IF($Q$3="All",SUMIFS('Income Source'!$G$5:$G$65,'Income Source'!$B$5:$B$65,A70),SUM(B70:D70))))</f>
        <v>135</v>
      </c>
      <c r="H70" s="29" t="n">
        <f aca="false">IF(A70="","",IF(COUNTIFS('Income Source'!$B$5:$B$65,A70)=0,"",G70-F70))</f>
        <v>135</v>
      </c>
      <c r="I70" s="30" t="n">
        <f aca="false">IF(OR(A70="",COUNTIFS('Income Source'!$B$5:$B$65,A70)=0,G70=0),"",H70/G70)</f>
        <v>1</v>
      </c>
      <c r="J70" s="1" t="str">
        <f aca="false">IF(A70="","",IF(COUNTIFS('Income Source'!$B$5:$B$65,A70)=0,"Revenue source missing",IF(ABS(E70-G70)&gt;0.005,"Income/revenue mismatch","OK")))</f>
        <v>OK</v>
      </c>
      <c r="X70" s="3"/>
      <c r="Y70" s="3"/>
      <c r="Z70" s="3"/>
      <c r="AA70" s="3"/>
      <c r="AB70" s="3"/>
      <c r="AC70" s="3"/>
    </row>
    <row r="71" customFormat="false" ht="15" hidden="false" customHeight="false" outlineLevel="0" collapsed="false">
      <c r="A71" s="28" t="n">
        <f aca="false">IF($B$3="All",46258,IF(54&lt;31,IF($B$3="July 2026",46204,46235)+54,""))</f>
        <v>46258</v>
      </c>
      <c r="B71" s="29" t="n">
        <f aca="false">IF(A71="","",IF(COUNTIFS('Income Source'!$B$5:$B$65,A71)=0,"",IF(OR($Q$3="All",$Q$3="Walk-in"),SUMIFS('Income Source'!$C$5:$C$65,'Income Source'!$B$5:$B$65,A71),0)))</f>
        <v>0</v>
      </c>
      <c r="C71" s="29" t="n">
        <f aca="false">IF(A71="","",IF(COUNTIFS('Income Source'!$B$5:$B$65,A71)=0,"",IF(OR($Q$3="All",$Q$3="Colonie"),SUMIFS('Income Source'!$D$5:$D$65,'Income Source'!$B$5:$B$65,A71),0)))</f>
        <v>0</v>
      </c>
      <c r="D71" s="29" t="n">
        <f aca="false">IF(A71="","",IF(COUNTIFS('Income Source'!$B$5:$B$65,A71)=0,"",IF(OR($Q$3="All",$Q$3="Birthday"),SUMIFS('Income Source'!$E$5:$E$65,'Income Source'!$B$5:$B$65,A71),0)))</f>
        <v>0</v>
      </c>
      <c r="E71" s="29" t="n">
        <f aca="false">IF(A71="","",IF(COUNTIFS('Income Source'!$B$5:$B$65,A71)=0,"",SUM(B71:D71)))</f>
        <v>0</v>
      </c>
      <c r="F71" s="29" t="n">
        <f aca="false">IF(A71="","",SUMIFS('Expense Source'!$M$5:$M$178,'Expense Source'!$D$5:$D$178,A71,'Expense Source'!$U$5:$U$178,1))</f>
        <v>0</v>
      </c>
      <c r="G71" s="29" t="n">
        <f aca="false">IF(A71="","",IF(COUNTIFS('Income Source'!$B$5:$B$65,A71)=0,"",IF($Q$3="All",SUMIFS('Income Source'!$G$5:$G$65,'Income Source'!$B$5:$B$65,A71),SUM(B71:D71))))</f>
        <v>0</v>
      </c>
      <c r="H71" s="29" t="n">
        <f aca="false">IF(A71="","",IF(COUNTIFS('Income Source'!$B$5:$B$65,A71)=0,"",G71-F71))</f>
        <v>0</v>
      </c>
      <c r="I71" s="30" t="str">
        <f aca="false">IF(OR(A71="",COUNTIFS('Income Source'!$B$5:$B$65,A71)=0,G71=0),"",H71/G71)</f>
        <v/>
      </c>
      <c r="J71" s="1" t="str">
        <f aca="false">IF(A71="","",IF(COUNTIFS('Income Source'!$B$5:$B$65,A71)=0,"Revenue source missing",IF(ABS(E71-G71)&gt;0.005,"Income/revenue mismatch","OK")))</f>
        <v>OK</v>
      </c>
      <c r="X71" s="3"/>
      <c r="Y71" s="3"/>
      <c r="Z71" s="3"/>
      <c r="AA71" s="3"/>
      <c r="AB71" s="3"/>
      <c r="AC71" s="3"/>
    </row>
    <row r="72" customFormat="false" ht="15" hidden="false" customHeight="false" outlineLevel="0" collapsed="false">
      <c r="A72" s="28" t="n">
        <f aca="false">IF($B$3="All",46259,IF(55&lt;31,IF($B$3="July 2026",46204,46235)+55,""))</f>
        <v>46259</v>
      </c>
      <c r="B72" s="29" t="n">
        <f aca="false">IF(A72="","",IF(COUNTIFS('Income Source'!$B$5:$B$65,A72)=0,"",IF(OR($Q$3="All",$Q$3="Walk-in"),SUMIFS('Income Source'!$C$5:$C$65,'Income Source'!$B$5:$B$65,A72),0)))</f>
        <v>199</v>
      </c>
      <c r="C72" s="29" t="n">
        <f aca="false">IF(A72="","",IF(COUNTIFS('Income Source'!$B$5:$B$65,A72)=0,"",IF(OR($Q$3="All",$Q$3="Colonie"),SUMIFS('Income Source'!$D$5:$D$65,'Income Source'!$B$5:$B$65,A72),0)))</f>
        <v>0</v>
      </c>
      <c r="D72" s="29" t="n">
        <f aca="false">IF(A72="","",IF(COUNTIFS('Income Source'!$B$5:$B$65,A72)=0,"",IF(OR($Q$3="All",$Q$3="Birthday"),SUMIFS('Income Source'!$E$5:$E$65,'Income Source'!$B$5:$B$65,A72),0)))</f>
        <v>0</v>
      </c>
      <c r="E72" s="29" t="n">
        <f aca="false">IF(A72="","",IF(COUNTIFS('Income Source'!$B$5:$B$65,A72)=0,"",SUM(B72:D72)))</f>
        <v>199</v>
      </c>
      <c r="F72" s="29" t="n">
        <f aca="false">IF(A72="","",SUMIFS('Expense Source'!$M$5:$M$178,'Expense Source'!$D$5:$D$178,A72,'Expense Source'!$U$5:$U$178,1))</f>
        <v>0</v>
      </c>
      <c r="G72" s="29" t="n">
        <f aca="false">IF(A72="","",IF(COUNTIFS('Income Source'!$B$5:$B$65,A72)=0,"",IF($Q$3="All",SUMIFS('Income Source'!$G$5:$G$65,'Income Source'!$B$5:$B$65,A72),SUM(B72:D72))))</f>
        <v>199</v>
      </c>
      <c r="H72" s="29" t="n">
        <f aca="false">IF(A72="","",IF(COUNTIFS('Income Source'!$B$5:$B$65,A72)=0,"",G72-F72))</f>
        <v>199</v>
      </c>
      <c r="I72" s="30" t="n">
        <f aca="false">IF(OR(A72="",COUNTIFS('Income Source'!$B$5:$B$65,A72)=0,G72=0),"",H72/G72)</f>
        <v>1</v>
      </c>
      <c r="J72" s="1" t="str">
        <f aca="false">IF(A72="","",IF(COUNTIFS('Income Source'!$B$5:$B$65,A72)=0,"Revenue source missing",IF(ABS(E72-G72)&gt;0.005,"Income/revenue mismatch","OK")))</f>
        <v>OK</v>
      </c>
      <c r="X72" s="3"/>
      <c r="Y72" s="3"/>
      <c r="Z72" s="3"/>
      <c r="AA72" s="3"/>
      <c r="AB72" s="3"/>
      <c r="AC72" s="3"/>
    </row>
    <row r="73" customFormat="false" ht="15" hidden="false" customHeight="false" outlineLevel="0" collapsed="false">
      <c r="A73" s="28" t="n">
        <f aca="false">IF($B$3="All",46260,IF(56&lt;31,IF($B$3="July 2026",46204,46235)+56,""))</f>
        <v>46260</v>
      </c>
      <c r="B73" s="29" t="n">
        <f aca="false">IF(A73="","",IF(COUNTIFS('Income Source'!$B$5:$B$65,A73)=0,"",IF(OR($Q$3="All",$Q$3="Walk-in"),SUMIFS('Income Source'!$C$5:$C$65,'Income Source'!$B$5:$B$65,A73),0)))</f>
        <v>145</v>
      </c>
      <c r="C73" s="29" t="n">
        <f aca="false">IF(A73="","",IF(COUNTIFS('Income Source'!$B$5:$B$65,A73)=0,"",IF(OR($Q$3="All",$Q$3="Colonie"),SUMIFS('Income Source'!$D$5:$D$65,'Income Source'!$B$5:$B$65,A73),0)))</f>
        <v>240</v>
      </c>
      <c r="D73" s="29" t="n">
        <f aca="false">IF(A73="","",IF(COUNTIFS('Income Source'!$B$5:$B$65,A73)=0,"",IF(OR($Q$3="All",$Q$3="Birthday"),SUMIFS('Income Source'!$E$5:$E$65,'Income Source'!$B$5:$B$65,A73),0)))</f>
        <v>510</v>
      </c>
      <c r="E73" s="29" t="n">
        <f aca="false">IF(A73="","",IF(COUNTIFS('Income Source'!$B$5:$B$65,A73)=0,"",SUM(B73:D73)))</f>
        <v>895</v>
      </c>
      <c r="F73" s="29" t="n">
        <f aca="false">IF(A73="","",SUMIFS('Expense Source'!$M$5:$M$178,'Expense Source'!$D$5:$D$178,A73,'Expense Source'!$U$5:$U$178,1))</f>
        <v>125.174406991261</v>
      </c>
      <c r="G73" s="29" t="n">
        <f aca="false">IF(A73="","",IF(COUNTIFS('Income Source'!$B$5:$B$65,A73)=0,"",IF($Q$3="All",SUMIFS('Income Source'!$G$5:$G$65,'Income Source'!$B$5:$B$65,A73),SUM(B73:D73))))</f>
        <v>895</v>
      </c>
      <c r="H73" s="29" t="n">
        <f aca="false">IF(A73="","",IF(COUNTIFS('Income Source'!$B$5:$B$65,A73)=0,"",G73-F73))</f>
        <v>769.825593008739</v>
      </c>
      <c r="I73" s="30" t="n">
        <f aca="false">IF(OR(A73="",COUNTIFS('Income Source'!$B$5:$B$65,A73)=0,G73=0),"",H73/G73)</f>
        <v>0.860140327384066</v>
      </c>
      <c r="J73" s="1" t="str">
        <f aca="false">IF(A73="","",IF(COUNTIFS('Income Source'!$B$5:$B$65,A73)=0,"Revenue source missing",IF(ABS(E73-G73)&gt;0.005,"Income/revenue mismatch","OK")))</f>
        <v>OK</v>
      </c>
      <c r="X73" s="3"/>
      <c r="Y73" s="3"/>
      <c r="Z73" s="3"/>
      <c r="AA73" s="3"/>
      <c r="AB73" s="3"/>
      <c r="AC73" s="3"/>
    </row>
    <row r="74" customFormat="false" ht="15" hidden="false" customHeight="false" outlineLevel="0" collapsed="false">
      <c r="A74" s="28" t="n">
        <f aca="false">IF($B$3="All",46261,IF(57&lt;31,IF($B$3="July 2026",46204,46235)+57,""))</f>
        <v>46261</v>
      </c>
      <c r="B74" s="29" t="n">
        <f aca="false">IF(A74="","",IF(COUNTIFS('Income Source'!$B$5:$B$65,A74)=0,"",IF(OR($Q$3="All",$Q$3="Walk-in"),SUMIFS('Income Source'!$C$5:$C$65,'Income Source'!$B$5:$B$65,A74),0)))</f>
        <v>0</v>
      </c>
      <c r="C74" s="29" t="n">
        <f aca="false">IF(A74="","",IF(COUNTIFS('Income Source'!$B$5:$B$65,A74)=0,"",IF(OR($Q$3="All",$Q$3="Colonie"),SUMIFS('Income Source'!$D$5:$D$65,'Income Source'!$B$5:$B$65,A74),0)))</f>
        <v>0</v>
      </c>
      <c r="D74" s="29" t="n">
        <f aca="false">IF(A74="","",IF(COUNTIFS('Income Source'!$B$5:$B$65,A74)=0,"",IF(OR($Q$3="All",$Q$3="Birthday"),SUMIFS('Income Source'!$E$5:$E$65,'Income Source'!$B$5:$B$65,A74),0)))</f>
        <v>0</v>
      </c>
      <c r="E74" s="29" t="n">
        <f aca="false">IF(A74="","",IF(COUNTIFS('Income Source'!$B$5:$B$65,A74)=0,"",SUM(B74:D74)))</f>
        <v>0</v>
      </c>
      <c r="F74" s="29" t="n">
        <f aca="false">IF(A74="","",SUMIFS('Expense Source'!$M$5:$M$178,'Expense Source'!$D$5:$D$178,A74,'Expense Source'!$U$5:$U$178,1))</f>
        <v>0</v>
      </c>
      <c r="G74" s="29" t="n">
        <f aca="false">IF(A74="","",IF(COUNTIFS('Income Source'!$B$5:$B$65,A74)=0,"",IF($Q$3="All",SUMIFS('Income Source'!$G$5:$G$65,'Income Source'!$B$5:$B$65,A74),SUM(B74:D74))))</f>
        <v>0</v>
      </c>
      <c r="H74" s="29" t="n">
        <f aca="false">IF(A74="","",IF(COUNTIFS('Income Source'!$B$5:$B$65,A74)=0,"",G74-F74))</f>
        <v>0</v>
      </c>
      <c r="I74" s="30" t="str">
        <f aca="false">IF(OR(A74="",COUNTIFS('Income Source'!$B$5:$B$65,A74)=0,G74=0),"",H74/G74)</f>
        <v/>
      </c>
      <c r="J74" s="1" t="str">
        <f aca="false">IF(A74="","",IF(COUNTIFS('Income Source'!$B$5:$B$65,A74)=0,"Revenue source missing",IF(ABS(E74-G74)&gt;0.005,"Income/revenue mismatch","OK")))</f>
        <v>OK</v>
      </c>
      <c r="X74" s="3"/>
      <c r="Y74" s="3"/>
      <c r="Z74" s="3"/>
      <c r="AA74" s="3"/>
      <c r="AB74" s="3"/>
      <c r="AC74" s="3"/>
    </row>
    <row r="75" customFormat="false" ht="15" hidden="false" customHeight="false" outlineLevel="0" collapsed="false">
      <c r="A75" s="28" t="n">
        <f aca="false">IF($B$3="All",46262,IF(58&lt;31,IF($B$3="July 2026",46204,46235)+58,""))</f>
        <v>46262</v>
      </c>
      <c r="B75" s="29" t="n">
        <f aca="false">IF(A75="","",IF(COUNTIFS('Income Source'!$B$5:$B$65,A75)=0,"",IF(OR($Q$3="All",$Q$3="Walk-in"),SUMIFS('Income Source'!$C$5:$C$65,'Income Source'!$B$5:$B$65,A75),0)))</f>
        <v>0</v>
      </c>
      <c r="C75" s="29" t="n">
        <f aca="false">IF(A75="","",IF(COUNTIFS('Income Source'!$B$5:$B$65,A75)=0,"",IF(OR($Q$3="All",$Q$3="Colonie"),SUMIFS('Income Source'!$D$5:$D$65,'Income Source'!$B$5:$B$65,A75),0)))</f>
        <v>0</v>
      </c>
      <c r="D75" s="29" t="n">
        <f aca="false">IF(A75="","",IF(COUNTIFS('Income Source'!$B$5:$B$65,A75)=0,"",IF(OR($Q$3="All",$Q$3="Birthday"),SUMIFS('Income Source'!$E$5:$E$65,'Income Source'!$B$5:$B$65,A75),0)))</f>
        <v>700</v>
      </c>
      <c r="E75" s="29" t="n">
        <f aca="false">IF(A75="","",IF(COUNTIFS('Income Source'!$B$5:$B$65,A75)=0,"",SUM(B75:D75)))</f>
        <v>700</v>
      </c>
      <c r="F75" s="29" t="n">
        <f aca="false">IF(A75="","",SUMIFS('Expense Source'!$M$5:$M$178,'Expense Source'!$D$5:$D$178,A75,'Expense Source'!$U$5:$U$178,1))</f>
        <v>0</v>
      </c>
      <c r="G75" s="29" t="n">
        <f aca="false">IF(A75="","",IF(COUNTIFS('Income Source'!$B$5:$B$65,A75)=0,"",IF($Q$3="All",SUMIFS('Income Source'!$G$5:$G$65,'Income Source'!$B$5:$B$65,A75),SUM(B75:D75))))</f>
        <v>700</v>
      </c>
      <c r="H75" s="29" t="n">
        <f aca="false">IF(A75="","",IF(COUNTIFS('Income Source'!$B$5:$B$65,A75)=0,"",G75-F75))</f>
        <v>700</v>
      </c>
      <c r="I75" s="30" t="n">
        <f aca="false">IF(OR(A75="",COUNTIFS('Income Source'!$B$5:$B$65,A75)=0,G75=0),"",H75/G75)</f>
        <v>1</v>
      </c>
      <c r="J75" s="1" t="str">
        <f aca="false">IF(A75="","",IF(COUNTIFS('Income Source'!$B$5:$B$65,A75)=0,"Revenue source missing",IF(ABS(E75-G75)&gt;0.005,"Income/revenue mismatch","OK")))</f>
        <v>OK</v>
      </c>
      <c r="X75" s="3"/>
      <c r="Y75" s="3"/>
      <c r="Z75" s="3"/>
      <c r="AA75" s="3"/>
      <c r="AB75" s="3"/>
      <c r="AC75" s="3"/>
    </row>
    <row r="76" customFormat="false" ht="15" hidden="false" customHeight="false" outlineLevel="0" collapsed="false">
      <c r="A76" s="28" t="n">
        <f aca="false">IF($B$3="All",46263,IF(59&lt;31,IF($B$3="July 2026",46204,46235)+59,""))</f>
        <v>46263</v>
      </c>
      <c r="B76" s="29" t="n">
        <f aca="false">IF(A76="","",IF(COUNTIFS('Income Source'!$B$5:$B$65,A76)=0,"",IF(OR($Q$3="All",$Q$3="Walk-in"),SUMIFS('Income Source'!$C$5:$C$65,'Income Source'!$B$5:$B$65,A76),0)))</f>
        <v>157</v>
      </c>
      <c r="C76" s="29" t="n">
        <f aca="false">IF(A76="","",IF(COUNTIFS('Income Source'!$B$5:$B$65,A76)=0,"",IF(OR($Q$3="All",$Q$3="Colonie"),SUMIFS('Income Source'!$D$5:$D$65,'Income Source'!$B$5:$B$65,A76),0)))</f>
        <v>0</v>
      </c>
      <c r="D76" s="29" t="n">
        <f aca="false">IF(A76="","",IF(COUNTIFS('Income Source'!$B$5:$B$65,A76)=0,"",IF(OR($Q$3="All",$Q$3="Birthday"),SUMIFS('Income Source'!$E$5:$E$65,'Income Source'!$B$5:$B$65,A76),0)))</f>
        <v>600</v>
      </c>
      <c r="E76" s="29" t="n">
        <f aca="false">IF(A76="","",IF(COUNTIFS('Income Source'!$B$5:$B$65,A76)=0,"",SUM(B76:D76)))</f>
        <v>757</v>
      </c>
      <c r="F76" s="29" t="n">
        <f aca="false">IF(A76="","",SUMIFS('Expense Source'!$M$5:$M$178,'Expense Source'!$D$5:$D$178,A76,'Expense Source'!$U$5:$U$178,1))</f>
        <v>82.6208988764045</v>
      </c>
      <c r="G76" s="29" t="n">
        <f aca="false">IF(A76="","",IF(COUNTIFS('Income Source'!$B$5:$B$65,A76)=0,"",IF($Q$3="All",SUMIFS('Income Source'!$G$5:$G$65,'Income Source'!$B$5:$B$65,A76),SUM(B76:D76))))</f>
        <v>757</v>
      </c>
      <c r="H76" s="29" t="n">
        <f aca="false">IF(A76="","",IF(COUNTIFS('Income Source'!$B$5:$B$65,A76)=0,"",G76-F76))</f>
        <v>674.379101123596</v>
      </c>
      <c r="I76" s="30" t="n">
        <f aca="false">IF(OR(A76="",COUNTIFS('Income Source'!$B$5:$B$65,A76)=0,G76=0),"",H76/G76)</f>
        <v>0.890857465156665</v>
      </c>
      <c r="J76" s="1" t="str">
        <f aca="false">IF(A76="","",IF(COUNTIFS('Income Source'!$B$5:$B$65,A76)=0,"Revenue source missing",IF(ABS(E76-G76)&gt;0.005,"Income/revenue mismatch","OK")))</f>
        <v>OK</v>
      </c>
      <c r="X76" s="3"/>
      <c r="Y76" s="3"/>
      <c r="Z76" s="3"/>
      <c r="AA76" s="3"/>
      <c r="AB76" s="3"/>
      <c r="AC76" s="3"/>
    </row>
    <row r="77" customFormat="false" ht="15" hidden="false" customHeight="false" outlineLevel="0" collapsed="false">
      <c r="A77" s="28" t="n">
        <f aca="false">IF($B$3="All",46264,IF(60&lt;31,IF($B$3="July 2026",46204,46235)+60,""))</f>
        <v>46264</v>
      </c>
      <c r="B77" s="29" t="n">
        <f aca="false">IF(A77="","",IF(COUNTIFS('Income Source'!$B$5:$B$65,A77)=0,"",IF(OR($Q$3="All",$Q$3="Walk-in"),SUMIFS('Income Source'!$C$5:$C$65,'Income Source'!$B$5:$B$65,A77),0)))</f>
        <v>167</v>
      </c>
      <c r="C77" s="29" t="n">
        <f aca="false">IF(A77="","",IF(COUNTIFS('Income Source'!$B$5:$B$65,A77)=0,"",IF(OR($Q$3="All",$Q$3="Colonie"),SUMIFS('Income Source'!$D$5:$D$65,'Income Source'!$B$5:$B$65,A77),0)))</f>
        <v>0</v>
      </c>
      <c r="D77" s="29" t="n">
        <f aca="false">IF(A77="","",IF(COUNTIFS('Income Source'!$B$5:$B$65,A77)=0,"",IF(OR($Q$3="All",$Q$3="Birthday"),SUMIFS('Income Source'!$E$5:$E$65,'Income Source'!$B$5:$B$65,A77),0)))</f>
        <v>0</v>
      </c>
      <c r="E77" s="29" t="n">
        <f aca="false">IF(A77="","",IF(COUNTIFS('Income Source'!$B$5:$B$65,A77)=0,"",SUM(B77:D77)))</f>
        <v>167</v>
      </c>
      <c r="F77" s="29" t="n">
        <f aca="false">IF(A77="","",SUMIFS('Expense Source'!$M$5:$M$178,'Expense Source'!$D$5:$D$178,A77,'Expense Source'!$U$5:$U$178,1))</f>
        <v>0</v>
      </c>
      <c r="G77" s="29" t="n">
        <f aca="false">IF(A77="","",IF(COUNTIFS('Income Source'!$B$5:$B$65,A77)=0,"",IF($Q$3="All",SUMIFS('Income Source'!$G$5:$G$65,'Income Source'!$B$5:$B$65,A77),SUM(B77:D77))))</f>
        <v>167</v>
      </c>
      <c r="H77" s="29" t="n">
        <f aca="false">IF(A77="","",IF(COUNTIFS('Income Source'!$B$5:$B$65,A77)=0,"",G77-F77))</f>
        <v>167</v>
      </c>
      <c r="I77" s="30" t="n">
        <f aca="false">IF(OR(A77="",COUNTIFS('Income Source'!$B$5:$B$65,A77)=0,G77=0),"",H77/G77)</f>
        <v>1</v>
      </c>
      <c r="J77" s="1" t="str">
        <f aca="false">IF(A77="","",IF(COUNTIFS('Income Source'!$B$5:$B$65,A77)=0,"Revenue source missing",IF(ABS(E77-G77)&gt;0.005,"Income/revenue mismatch","OK")))</f>
        <v>OK</v>
      </c>
      <c r="X77" s="3"/>
      <c r="Y77" s="3"/>
      <c r="Z77" s="3"/>
      <c r="AA77" s="3"/>
      <c r="AB77" s="3"/>
      <c r="AC77" s="3"/>
    </row>
    <row r="78" customFormat="false" ht="15" hidden="false" customHeight="false" outlineLevel="0" collapsed="false">
      <c r="A78" s="28" t="n">
        <f aca="false">IF($B$3="All",46265,IF(61&lt;31,IF($B$3="July 2026",46204,46235)+61,""))</f>
        <v>46265</v>
      </c>
      <c r="B78" s="29" t="n">
        <f aca="false">IF(A78="","",IF(COUNTIFS('Income Source'!$B$5:$B$65,A78)=0,"",IF(OR($Q$3="All",$Q$3="Walk-in"),SUMIFS('Income Source'!$C$5:$C$65,'Income Source'!$B$5:$B$65,A78),0)))</f>
        <v>0</v>
      </c>
      <c r="C78" s="29" t="n">
        <f aca="false">IF(A78="","",IF(COUNTIFS('Income Source'!$B$5:$B$65,A78)=0,"",IF(OR($Q$3="All",$Q$3="Colonie"),SUMIFS('Income Source'!$D$5:$D$65,'Income Source'!$B$5:$B$65,A78),0)))</f>
        <v>0</v>
      </c>
      <c r="D78" s="29" t="n">
        <f aca="false">IF(A78="","",IF(COUNTIFS('Income Source'!$B$5:$B$65,A78)=0,"",IF(OR($Q$3="All",$Q$3="Birthday"),SUMIFS('Income Source'!$E$5:$E$65,'Income Source'!$B$5:$B$65,A78),0)))</f>
        <v>0</v>
      </c>
      <c r="E78" s="29" t="n">
        <f aca="false">IF(A78="","",IF(COUNTIFS('Income Source'!$B$5:$B$65,A78)=0,"",SUM(B78:D78)))</f>
        <v>0</v>
      </c>
      <c r="F78" s="29" t="n">
        <f aca="false">IF(A78="","",SUMIFS('Expense Source'!$M$5:$M$178,'Expense Source'!$D$5:$D$178,A78,'Expense Source'!$U$5:$U$178,1))</f>
        <v>0</v>
      </c>
      <c r="G78" s="29" t="n">
        <f aca="false">IF(A78="","",IF(COUNTIFS('Income Source'!$B$5:$B$65,A78)=0,"",IF($Q$3="All",SUMIFS('Income Source'!$G$5:$G$65,'Income Source'!$B$5:$B$65,A78),SUM(B78:D78))))</f>
        <v>0</v>
      </c>
      <c r="H78" s="29" t="n">
        <f aca="false">IF(A78="","",IF(COUNTIFS('Income Source'!$B$5:$B$65,A78)=0,"",G78-F78))</f>
        <v>0</v>
      </c>
      <c r="I78" s="30" t="str">
        <f aca="false">IF(OR(A78="",COUNTIFS('Income Source'!$B$5:$B$65,A78)=0,G78=0),"",H78/G78)</f>
        <v/>
      </c>
      <c r="J78" s="1" t="str">
        <f aca="false">IF(A78="","",IF(COUNTIFS('Income Source'!$B$5:$B$65,A78)=0,"Revenue source missing",IF(ABS(E78-G78)&gt;0.005,"Income/revenue mismatch","OK")))</f>
        <v>OK</v>
      </c>
      <c r="X78" s="3"/>
      <c r="Y78" s="3"/>
      <c r="Z78" s="3"/>
      <c r="AA78" s="3"/>
      <c r="AB78" s="3"/>
      <c r="AC78" s="3"/>
    </row>
    <row r="79" customFormat="false" ht="15" hidden="false" customHeight="false" outlineLevel="0" collapsed="false">
      <c r="X79" s="3"/>
      <c r="Y79" s="3"/>
      <c r="Z79" s="3"/>
      <c r="AA79" s="3"/>
      <c r="AB79" s="3"/>
      <c r="AC79" s="3"/>
    </row>
    <row r="80" customFormat="false" ht="15" hidden="false" customHeight="false" outlineLevel="0" collapsed="false">
      <c r="X80" s="3"/>
      <c r="Y80" s="3"/>
      <c r="Z80" s="3"/>
      <c r="AA80" s="3"/>
      <c r="AB80" s="3"/>
      <c r="AC80" s="3"/>
    </row>
    <row r="81" customFormat="false" ht="15" hidden="false" customHeight="false" outlineLevel="0" collapsed="false">
      <c r="X81" s="3"/>
      <c r="Y81" s="3"/>
      <c r="Z81" s="3"/>
      <c r="AA81" s="3"/>
      <c r="AB81" s="3"/>
      <c r="AC81" s="3"/>
    </row>
    <row r="82" customFormat="false" ht="15" hidden="false" customHeight="false" outlineLevel="0" collapsed="false">
      <c r="X82" s="3"/>
      <c r="Y82" s="3"/>
      <c r="Z82" s="3"/>
      <c r="AA82" s="3"/>
      <c r="AB82" s="3"/>
      <c r="AC82" s="3"/>
    </row>
    <row r="83" customFormat="false" ht="15" hidden="false" customHeight="false" outlineLevel="0" collapsed="false">
      <c r="X83" s="3"/>
      <c r="Y83" s="3"/>
      <c r="Z83" s="3"/>
      <c r="AA83" s="3"/>
      <c r="AB83" s="3"/>
      <c r="AC83" s="3"/>
    </row>
    <row r="84" customFormat="false" ht="15" hidden="false" customHeight="false" outlineLevel="0" collapsed="false">
      <c r="X84" s="3"/>
      <c r="Y84" s="3"/>
      <c r="Z84" s="3"/>
      <c r="AA84" s="3"/>
      <c r="AB84" s="3"/>
      <c r="AC84" s="3"/>
    </row>
    <row r="85" customFormat="false" ht="15" hidden="false" customHeight="false" outlineLevel="0" collapsed="false">
      <c r="X85" s="3"/>
      <c r="Y85" s="3"/>
      <c r="Z85" s="3"/>
      <c r="AA85" s="3"/>
      <c r="AB85" s="3"/>
      <c r="AC85" s="3"/>
    </row>
    <row r="86" customFormat="false" ht="15" hidden="false" customHeight="false" outlineLevel="0" collapsed="false">
      <c r="X86" s="3"/>
      <c r="Y86" s="3"/>
      <c r="Z86" s="3"/>
      <c r="AA86" s="3"/>
      <c r="AB86" s="3"/>
      <c r="AC86" s="3"/>
    </row>
    <row r="87" customFormat="false" ht="15" hidden="false" customHeight="false" outlineLevel="0" collapsed="false">
      <c r="X87" s="3"/>
      <c r="Y87" s="3"/>
      <c r="Z87" s="3"/>
      <c r="AA87" s="3"/>
      <c r="AB87" s="3"/>
      <c r="AC87" s="3"/>
    </row>
    <row r="88" customFormat="false" ht="15" hidden="false" customHeight="false" outlineLevel="0" collapsed="false">
      <c r="X88" s="3"/>
      <c r="Y88" s="3"/>
      <c r="Z88" s="3"/>
      <c r="AA88" s="3"/>
      <c r="AB88" s="3"/>
      <c r="AC88" s="3"/>
    </row>
    <row r="89" customFormat="false" ht="15" hidden="false" customHeight="false" outlineLevel="0" collapsed="false">
      <c r="X89" s="3"/>
      <c r="Y89" s="3"/>
      <c r="Z89" s="3"/>
      <c r="AA89" s="3"/>
      <c r="AB89" s="3"/>
      <c r="AC89" s="3"/>
    </row>
    <row r="90" customFormat="false" ht="15" hidden="false" customHeight="false" outlineLevel="0" collapsed="false">
      <c r="X90" s="3"/>
      <c r="Y90" s="3"/>
      <c r="Z90" s="3"/>
      <c r="AA90" s="3"/>
      <c r="AB90" s="3"/>
      <c r="AC90" s="3"/>
    </row>
    <row r="91" customFormat="false" ht="15" hidden="false" customHeight="false" outlineLevel="0" collapsed="false">
      <c r="X91" s="3"/>
      <c r="Y91" s="3"/>
      <c r="Z91" s="3"/>
      <c r="AA91" s="3"/>
      <c r="AB91" s="3"/>
      <c r="AC91" s="3"/>
    </row>
    <row r="92" customFormat="false" ht="15" hidden="false" customHeight="false" outlineLevel="0" collapsed="false">
      <c r="X92" s="3"/>
      <c r="Y92" s="3"/>
      <c r="Z92" s="3"/>
      <c r="AA92" s="3"/>
      <c r="AB92" s="3"/>
      <c r="AC92" s="3"/>
    </row>
    <row r="93" customFormat="false" ht="15" hidden="false" customHeight="false" outlineLevel="0" collapsed="false">
      <c r="X93" s="3"/>
      <c r="Y93" s="3"/>
      <c r="Z93" s="3"/>
      <c r="AA93" s="3"/>
      <c r="AB93" s="3"/>
      <c r="AC93" s="3"/>
    </row>
    <row r="94" customFormat="false" ht="15" hidden="false" customHeight="false" outlineLevel="0" collapsed="false">
      <c r="X94" s="3"/>
      <c r="Y94" s="3"/>
      <c r="Z94" s="3"/>
      <c r="AA94" s="3"/>
      <c r="AB94" s="3"/>
      <c r="AC94" s="3"/>
    </row>
    <row r="95" customFormat="false" ht="15" hidden="false" customHeight="false" outlineLevel="0" collapsed="false">
      <c r="X95" s="3"/>
      <c r="Y95" s="3"/>
      <c r="Z95" s="3"/>
      <c r="AA95" s="3"/>
      <c r="AB95" s="3"/>
      <c r="AC95" s="3"/>
    </row>
    <row r="96" customFormat="false" ht="15" hidden="false" customHeight="false" outlineLevel="0" collapsed="false">
      <c r="X96" s="3"/>
      <c r="Y96" s="3"/>
      <c r="Z96" s="3"/>
      <c r="AA96" s="3"/>
      <c r="AB96" s="3"/>
      <c r="AC96" s="3"/>
    </row>
    <row r="97" customFormat="false" ht="15" hidden="false" customHeight="false" outlineLevel="0" collapsed="false">
      <c r="X97" s="3"/>
      <c r="Y97" s="3"/>
      <c r="Z97" s="3"/>
      <c r="AA97" s="3"/>
      <c r="AB97" s="3"/>
      <c r="AC97" s="3"/>
    </row>
    <row r="98" customFormat="false" ht="15" hidden="false" customHeight="false" outlineLevel="0" collapsed="false">
      <c r="X98" s="3"/>
      <c r="Y98" s="3"/>
      <c r="Z98" s="3"/>
      <c r="AA98" s="3"/>
      <c r="AB98" s="3"/>
      <c r="AC98" s="3"/>
    </row>
    <row r="99" customFormat="false" ht="15" hidden="false" customHeight="false" outlineLevel="0" collapsed="false">
      <c r="X99" s="3"/>
      <c r="Y99" s="3"/>
      <c r="Z99" s="3"/>
      <c r="AA99" s="3"/>
      <c r="AB99" s="3"/>
      <c r="AC99" s="3"/>
    </row>
    <row r="100" customFormat="false" ht="15" hidden="false" customHeight="false" outlineLevel="0" collapsed="false">
      <c r="X100" s="3"/>
      <c r="Y100" s="3"/>
      <c r="Z100" s="3"/>
      <c r="AA100" s="3"/>
      <c r="AB100" s="3"/>
      <c r="AC100" s="3"/>
    </row>
  </sheetData>
  <sheetProtection algorithmName="SHA-512" hashValue="qdKqrFGSWIzq30glPsOQbeZiAn+r0EojxS/wXTZvEEzv4uGMayoduvyusCXmjUObAjv57vrJSnW1Oy3SFlQnRg==" saltValue="1PhAbVJgh0vaetQZxrmIXw==" spinCount="100000" sheet="true" objects="true" scenarios="true" selectLockedCells="true"/>
  <mergeCells count="16">
    <mergeCell ref="A1:Q1"/>
    <mergeCell ref="A2:Q2"/>
    <mergeCell ref="A4:B4"/>
    <mergeCell ref="C4:D4"/>
    <mergeCell ref="E4:F4"/>
    <mergeCell ref="G4:H4"/>
    <mergeCell ref="I4:J4"/>
    <mergeCell ref="A5:B6"/>
    <mergeCell ref="C5:D6"/>
    <mergeCell ref="E5:F6"/>
    <mergeCell ref="G5:H6"/>
    <mergeCell ref="I5:J6"/>
    <mergeCell ref="A9:F9"/>
    <mergeCell ref="G9:Q9"/>
    <mergeCell ref="G10:Q13"/>
    <mergeCell ref="A15:J15"/>
  </mergeCells>
  <conditionalFormatting sqref="H17:H78">
    <cfRule type="cellIs" priority="2" operator="lessThan" aboveAverage="0" equalAverage="0" bottom="0" percent="0" rank="0" text="" dxfId="11">
      <formula>0</formula>
    </cfRule>
    <cfRule type="cellIs" priority="3" operator="greaterThanOrEqual" aboveAverage="0" equalAverage="0" bottom="0" percent="0" rank="0" text="" dxfId="12">
      <formula>0</formula>
    </cfRule>
  </conditionalFormatting>
  <conditionalFormatting sqref="J17:J78">
    <cfRule type="containsText" priority="4" operator="containsText" aboveAverage="0" equalAverage="0" bottom="0" percent="0" rank="0" text="OK" dxfId="13">
      <formula>NOT(ISERROR(SEARCH("OK",J17)))</formula>
    </cfRule>
    <cfRule type="containsText" priority="5" operator="containsText" aboveAverage="0" equalAverage="0" bottom="0" percent="0" rank="0" text="missing" dxfId="14">
      <formula>NOT(ISERROR(SEARCH("missing",J17)))</formula>
    </cfRule>
    <cfRule type="containsText" priority="6" operator="containsText" aboveAverage="0" equalAverage="0" bottom="0" percent="0" rank="0" text="mismatch" dxfId="15">
      <formula>NOT(ISERROR(SEARCH("mismatch",J17)))</formula>
    </cfRule>
  </conditionalFormatting>
  <dataValidations count="6">
    <dataValidation allowBlank="false" errorStyle="stop" operator="between" showDropDown="false" showErrorMessage="false" showInputMessage="false" sqref="B3" type="list">
      <formula1>$X$2:$X$4</formula1>
      <formula2>0</formula2>
    </dataValidation>
    <dataValidation allowBlank="false" errorStyle="stop" operator="between" showDropDown="false" showErrorMessage="false" showInputMessage="false" sqref="E3" type="list">
      <formula1>$Y$2:$Y$9</formula1>
      <formula2>0</formula2>
    </dataValidation>
    <dataValidation allowBlank="false" errorStyle="stop" operator="between" showDropDown="false" showErrorMessage="false" showInputMessage="false" sqref="H3" type="list">
      <formula1>$Z$2:$Z$11</formula1>
      <formula2>0</formula2>
    </dataValidation>
    <dataValidation allowBlank="false" errorStyle="stop" operator="between" showDropDown="false" showErrorMessage="false" showInputMessage="false" sqref="K3" type="list">
      <formula1>$AA$2:$AA$14</formula1>
      <formula2>0</formula2>
    </dataValidation>
    <dataValidation allowBlank="false" errorStyle="stop" operator="between" showDropDown="false" showErrorMessage="false" showInputMessage="false" sqref="N3" type="list">
      <formula1>$AB$2:$AB$38</formula1>
      <formula2>0</formula2>
    </dataValidation>
    <dataValidation allowBlank="false" errorStyle="stop" operator="between" showDropDown="false" showErrorMessage="false" showInputMessage="false" sqref="Q3" type="list">
      <formula1>$AC$2:$AC$5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65" activePane="bottomRight" state="frozen"/>
      <selection pane="topLeft" activeCell="A1" activeCellId="0" sqref="A1"/>
      <selection pane="topRight" activeCell="C1" activeCellId="0" sqref="C1"/>
      <selection pane="bottomLeft" activeCell="A65" activeCellId="0" sqref="A65"/>
      <selection pane="bottomRight" activeCell="H7" activeCellId="0" sqref="H7"/>
    </sheetView>
  </sheetViews>
  <sheetFormatPr defaultColWidth="9.00390625" defaultRowHeight="15" customHeight="false" zeroHeight="false" outlineLevelRow="0" outlineLevelCol="0"/>
  <cols>
    <col collapsed="false" customWidth="true" hidden="false" outlineLevel="0" max="2" min="1" style="1" width="15"/>
    <col collapsed="false" customWidth="true" hidden="false" outlineLevel="0" max="7" min="3" style="1" width="18"/>
    <col collapsed="false" customWidth="true" hidden="false" outlineLevel="0" max="8" min="8" style="1" width="16"/>
    <col collapsed="false" customWidth="false" hidden="false" outlineLevel="0" max="16384" min="9" style="1" width="9"/>
  </cols>
  <sheetData>
    <row r="1" customFormat="false" ht="30" hidden="false" customHeight="true" outlineLevel="0" collapsed="false">
      <c r="A1" s="2" t="s">
        <v>93</v>
      </c>
      <c r="B1" s="2"/>
      <c r="C1" s="2"/>
      <c r="D1" s="2"/>
      <c r="E1" s="2"/>
      <c r="F1" s="2"/>
      <c r="G1" s="2"/>
      <c r="H1" s="2"/>
    </row>
    <row r="2" customFormat="false" ht="24" hidden="false" customHeight="true" outlineLevel="0" collapsed="false">
      <c r="A2" s="4"/>
      <c r="B2" s="4"/>
      <c r="C2" s="4"/>
      <c r="D2" s="4"/>
      <c r="E2" s="4"/>
      <c r="F2" s="4"/>
      <c r="G2" s="4"/>
      <c r="H2" s="4"/>
    </row>
    <row r="4" customFormat="false" ht="27.75" hidden="false" customHeight="true" outlineLevel="0" collapsed="false">
      <c r="A4" s="15" t="s">
        <v>94</v>
      </c>
      <c r="B4" s="16" t="s">
        <v>67</v>
      </c>
      <c r="C4" s="16" t="s">
        <v>20</v>
      </c>
      <c r="D4" s="16" t="s">
        <v>31</v>
      </c>
      <c r="E4" s="16" t="s">
        <v>16</v>
      </c>
      <c r="F4" s="16" t="s">
        <v>95</v>
      </c>
      <c r="G4" s="16" t="s">
        <v>96</v>
      </c>
      <c r="H4" s="17" t="s">
        <v>97</v>
      </c>
    </row>
    <row r="5" customFormat="false" ht="15" hidden="false" customHeight="false" outlineLevel="0" collapsed="false">
      <c r="A5" s="31" t="s">
        <v>98</v>
      </c>
      <c r="B5" s="32" t="n">
        <v>46205</v>
      </c>
      <c r="C5" s="33" t="n">
        <v>0</v>
      </c>
      <c r="D5" s="33" t="n">
        <v>520</v>
      </c>
      <c r="E5" s="33" t="n">
        <v>0</v>
      </c>
      <c r="F5" s="33"/>
      <c r="G5" s="33" t="n">
        <v>520</v>
      </c>
      <c r="H5" s="1" t="str">
        <f aca="false">IF(ABS(G5-(SUM(C5:E5)-F5))&lt;0.005,"OK","Check")</f>
        <v>OK</v>
      </c>
    </row>
    <row r="6" customFormat="false" ht="15" hidden="false" customHeight="false" outlineLevel="0" collapsed="false">
      <c r="A6" s="31" t="s">
        <v>98</v>
      </c>
      <c r="B6" s="32" t="n">
        <v>46206</v>
      </c>
      <c r="C6" s="33" t="n">
        <v>0</v>
      </c>
      <c r="D6" s="33" t="n">
        <v>0</v>
      </c>
      <c r="E6" s="33" t="n">
        <v>434</v>
      </c>
      <c r="F6" s="33"/>
      <c r="G6" s="33" t="n">
        <v>434</v>
      </c>
      <c r="H6" s="1" t="str">
        <f aca="false">IF(ABS(G6-(SUM(C6:E6)-F6))&lt;0.005,"OK","Check")</f>
        <v>OK</v>
      </c>
    </row>
    <row r="7" customFormat="false" ht="15" hidden="false" customHeight="false" outlineLevel="0" collapsed="false">
      <c r="A7" s="31" t="s">
        <v>98</v>
      </c>
      <c r="B7" s="32" t="n">
        <v>46207</v>
      </c>
      <c r="C7" s="33" t="n">
        <v>238</v>
      </c>
      <c r="D7" s="33" t="n">
        <v>100</v>
      </c>
      <c r="E7" s="33" t="n">
        <v>751</v>
      </c>
      <c r="F7" s="33"/>
      <c r="G7" s="33" t="n">
        <v>1089</v>
      </c>
      <c r="H7" s="1" t="str">
        <f aca="false">IF(ABS(G7-(SUM(C7:E7)-F7))&lt;0.005,"OK","Check")</f>
        <v>OK</v>
      </c>
    </row>
    <row r="8" customFormat="false" ht="15" hidden="false" customHeight="false" outlineLevel="0" collapsed="false">
      <c r="A8" s="31" t="s">
        <v>98</v>
      </c>
      <c r="B8" s="32" t="n">
        <v>46208</v>
      </c>
      <c r="C8" s="33" t="n">
        <v>241</v>
      </c>
      <c r="D8" s="33" t="n">
        <v>0</v>
      </c>
      <c r="E8" s="33" t="n">
        <v>750</v>
      </c>
      <c r="F8" s="33"/>
      <c r="G8" s="33" t="n">
        <v>991</v>
      </c>
      <c r="H8" s="1" t="str">
        <f aca="false">IF(ABS(G8-(SUM(C8:E8)-F8))&lt;0.005,"OK","Check")</f>
        <v>OK</v>
      </c>
    </row>
    <row r="9" customFormat="false" ht="15" hidden="false" customHeight="false" outlineLevel="0" collapsed="false">
      <c r="A9" s="31" t="s">
        <v>98</v>
      </c>
      <c r="B9" s="32" t="n">
        <v>46209</v>
      </c>
      <c r="C9" s="33"/>
      <c r="D9" s="33"/>
      <c r="E9" s="33"/>
      <c r="F9" s="33"/>
      <c r="G9" s="33" t="n">
        <v>0</v>
      </c>
      <c r="H9" s="1" t="str">
        <f aca="false">IF(ABS(G9-(SUM(C9:E9)-F9))&lt;0.005,"OK","Check")</f>
        <v>OK</v>
      </c>
    </row>
    <row r="10" customFormat="false" ht="15" hidden="false" customHeight="false" outlineLevel="0" collapsed="false">
      <c r="A10" s="31" t="s">
        <v>98</v>
      </c>
      <c r="B10" s="32" t="n">
        <v>46210</v>
      </c>
      <c r="C10" s="33"/>
      <c r="D10" s="33"/>
      <c r="E10" s="33"/>
      <c r="F10" s="33"/>
      <c r="G10" s="33" t="n">
        <v>0</v>
      </c>
      <c r="H10" s="1" t="str">
        <f aca="false">IF(ABS(G10-(SUM(C10:E10)-F10))&lt;0.005,"OK","Check")</f>
        <v>OK</v>
      </c>
    </row>
    <row r="11" customFormat="false" ht="15" hidden="false" customHeight="false" outlineLevel="0" collapsed="false">
      <c r="A11" s="31" t="s">
        <v>98</v>
      </c>
      <c r="B11" s="32" t="n">
        <v>46211</v>
      </c>
      <c r="C11" s="33"/>
      <c r="D11" s="33" t="n">
        <v>760</v>
      </c>
      <c r="E11" s="33" t="n">
        <v>625</v>
      </c>
      <c r="F11" s="33"/>
      <c r="G11" s="33" t="n">
        <v>1385</v>
      </c>
      <c r="H11" s="1" t="str">
        <f aca="false">IF(ABS(G11-(SUM(C11:E11)-F11))&lt;0.005,"OK","Check")</f>
        <v>OK</v>
      </c>
    </row>
    <row r="12" customFormat="false" ht="15" hidden="false" customHeight="false" outlineLevel="0" collapsed="false">
      <c r="A12" s="31" t="s">
        <v>98</v>
      </c>
      <c r="B12" s="32" t="n">
        <v>46212</v>
      </c>
      <c r="C12" s="33"/>
      <c r="D12" s="33" t="n">
        <v>528</v>
      </c>
      <c r="E12" s="33"/>
      <c r="F12" s="33"/>
      <c r="G12" s="33" t="n">
        <v>528</v>
      </c>
      <c r="H12" s="1" t="str">
        <f aca="false">IF(ABS(G12-(SUM(C12:E12)-F12))&lt;0.005,"OK","Check")</f>
        <v>OK</v>
      </c>
    </row>
    <row r="13" customFormat="false" ht="15" hidden="false" customHeight="false" outlineLevel="0" collapsed="false">
      <c r="A13" s="31" t="s">
        <v>98</v>
      </c>
      <c r="B13" s="32" t="n">
        <v>46213</v>
      </c>
      <c r="C13" s="33"/>
      <c r="D13" s="33" t="n">
        <v>384</v>
      </c>
      <c r="E13" s="33" t="n">
        <v>755</v>
      </c>
      <c r="F13" s="33"/>
      <c r="G13" s="33" t="n">
        <v>1139</v>
      </c>
      <c r="H13" s="1" t="str">
        <f aca="false">IF(ABS(G13-(SUM(C13:E13)-F13))&lt;0.005,"OK","Check")</f>
        <v>OK</v>
      </c>
    </row>
    <row r="14" customFormat="false" ht="15" hidden="false" customHeight="false" outlineLevel="0" collapsed="false">
      <c r="A14" s="31" t="s">
        <v>98</v>
      </c>
      <c r="B14" s="32" t="n">
        <v>46214</v>
      </c>
      <c r="C14" s="33" t="n">
        <v>453</v>
      </c>
      <c r="D14" s="33"/>
      <c r="E14" s="33" t="n">
        <v>1335</v>
      </c>
      <c r="F14" s="33"/>
      <c r="G14" s="33" t="n">
        <v>1788</v>
      </c>
      <c r="H14" s="1" t="str">
        <f aca="false">IF(ABS(G14-(SUM(C14:E14)-F14))&lt;0.005,"OK","Check")</f>
        <v>OK</v>
      </c>
    </row>
    <row r="15" customFormat="false" ht="15" hidden="false" customHeight="false" outlineLevel="0" collapsed="false">
      <c r="A15" s="31" t="s">
        <v>98</v>
      </c>
      <c r="B15" s="32" t="n">
        <v>46215</v>
      </c>
      <c r="C15" s="33" t="n">
        <v>370</v>
      </c>
      <c r="D15" s="33"/>
      <c r="E15" s="33" t="n">
        <v>550</v>
      </c>
      <c r="F15" s="33"/>
      <c r="G15" s="33" t="n">
        <v>920</v>
      </c>
      <c r="H15" s="1" t="str">
        <f aca="false">IF(ABS(G15-(SUM(C15:E15)-F15))&lt;0.005,"OK","Check")</f>
        <v>OK</v>
      </c>
    </row>
    <row r="16" customFormat="false" ht="15" hidden="false" customHeight="false" outlineLevel="0" collapsed="false">
      <c r="A16" s="31" t="s">
        <v>98</v>
      </c>
      <c r="B16" s="32" t="n">
        <v>46216</v>
      </c>
      <c r="C16" s="33"/>
      <c r="D16" s="33"/>
      <c r="E16" s="33"/>
      <c r="F16" s="33"/>
      <c r="G16" s="33" t="n">
        <v>0</v>
      </c>
      <c r="H16" s="1" t="str">
        <f aca="false">IF(ABS(G16-(SUM(C16:E16)-F16))&lt;0.005,"OK","Check")</f>
        <v>OK</v>
      </c>
    </row>
    <row r="17" customFormat="false" ht="15" hidden="false" customHeight="false" outlineLevel="0" collapsed="false">
      <c r="A17" s="31" t="s">
        <v>98</v>
      </c>
      <c r="B17" s="32" t="n">
        <v>46217</v>
      </c>
      <c r="C17" s="33"/>
      <c r="D17" s="33"/>
      <c r="E17" s="33"/>
      <c r="F17" s="33"/>
      <c r="G17" s="33" t="n">
        <v>0</v>
      </c>
      <c r="H17" s="1" t="str">
        <f aca="false">IF(ABS(G17-(SUM(C17:E17)-F17))&lt;0.005,"OK","Check")</f>
        <v>OK</v>
      </c>
    </row>
    <row r="18" customFormat="false" ht="15" hidden="false" customHeight="false" outlineLevel="0" collapsed="false">
      <c r="A18" s="31" t="s">
        <v>98</v>
      </c>
      <c r="B18" s="32" t="n">
        <v>46218</v>
      </c>
      <c r="C18" s="33"/>
      <c r="D18" s="33"/>
      <c r="E18" s="33"/>
      <c r="F18" s="33"/>
      <c r="G18" s="33" t="n">
        <v>0</v>
      </c>
      <c r="H18" s="1" t="str">
        <f aca="false">IF(ABS(G18-(SUM(C18:E18)-F18))&lt;0.005,"OK","Check")</f>
        <v>OK</v>
      </c>
    </row>
    <row r="19" customFormat="false" ht="15" hidden="false" customHeight="false" outlineLevel="0" collapsed="false">
      <c r="A19" s="31" t="s">
        <v>98</v>
      </c>
      <c r="B19" s="32" t="n">
        <v>46219</v>
      </c>
      <c r="C19" s="33"/>
      <c r="D19" s="33"/>
      <c r="E19" s="33"/>
      <c r="F19" s="33"/>
      <c r="G19" s="33" t="n">
        <v>0</v>
      </c>
      <c r="H19" s="1" t="str">
        <f aca="false">IF(ABS(G19-(SUM(C19:E19)-F19))&lt;0.005,"OK","Check")</f>
        <v>OK</v>
      </c>
    </row>
    <row r="20" customFormat="false" ht="15" hidden="false" customHeight="false" outlineLevel="0" collapsed="false">
      <c r="A20" s="31" t="s">
        <v>98</v>
      </c>
      <c r="B20" s="32" t="n">
        <v>46220</v>
      </c>
      <c r="C20" s="33" t="n">
        <v>284</v>
      </c>
      <c r="D20" s="33"/>
      <c r="E20" s="33" t="n">
        <v>520</v>
      </c>
      <c r="F20" s="33"/>
      <c r="G20" s="33" t="n">
        <v>804</v>
      </c>
      <c r="H20" s="1" t="str">
        <f aca="false">IF(ABS(G20-(SUM(C20:E20)-F20))&lt;0.005,"OK","Check")</f>
        <v>OK</v>
      </c>
    </row>
    <row r="21" customFormat="false" ht="15" hidden="false" customHeight="false" outlineLevel="0" collapsed="false">
      <c r="A21" s="31" t="s">
        <v>98</v>
      </c>
      <c r="B21" s="32" t="n">
        <v>46221</v>
      </c>
      <c r="C21" s="33" t="n">
        <v>330</v>
      </c>
      <c r="D21" s="33"/>
      <c r="E21" s="33" t="n">
        <v>1150</v>
      </c>
      <c r="F21" s="33"/>
      <c r="G21" s="33" t="n">
        <v>1480</v>
      </c>
      <c r="H21" s="1" t="str">
        <f aca="false">IF(ABS(G21-(SUM(C21:E21)-F21))&lt;0.005,"OK","Check")</f>
        <v>OK</v>
      </c>
    </row>
    <row r="22" customFormat="false" ht="15" hidden="false" customHeight="false" outlineLevel="0" collapsed="false">
      <c r="A22" s="31" t="s">
        <v>98</v>
      </c>
      <c r="B22" s="32" t="n">
        <v>46222</v>
      </c>
      <c r="C22" s="33" t="n">
        <v>77</v>
      </c>
      <c r="D22" s="33"/>
      <c r="E22" s="33" t="n">
        <v>525</v>
      </c>
      <c r="F22" s="33"/>
      <c r="G22" s="33" t="n">
        <v>602</v>
      </c>
      <c r="H22" s="1" t="str">
        <f aca="false">IF(ABS(G22-(SUM(C22:E22)-F22))&lt;0.005,"OK","Check")</f>
        <v>OK</v>
      </c>
    </row>
    <row r="23" customFormat="false" ht="15" hidden="false" customHeight="false" outlineLevel="0" collapsed="false">
      <c r="A23" s="31" t="s">
        <v>98</v>
      </c>
      <c r="B23" s="32" t="n">
        <v>46223</v>
      </c>
      <c r="C23" s="33"/>
      <c r="D23" s="33"/>
      <c r="E23" s="33"/>
      <c r="F23" s="33"/>
      <c r="G23" s="33" t="n">
        <v>0</v>
      </c>
      <c r="H23" s="1" t="str">
        <f aca="false">IF(ABS(G23-(SUM(C23:E23)-F23))&lt;0.005,"OK","Check")</f>
        <v>OK</v>
      </c>
    </row>
    <row r="24" customFormat="false" ht="15" hidden="false" customHeight="false" outlineLevel="0" collapsed="false">
      <c r="A24" s="31" t="s">
        <v>98</v>
      </c>
      <c r="B24" s="32" t="n">
        <v>46224</v>
      </c>
      <c r="C24" s="33"/>
      <c r="D24" s="33"/>
      <c r="E24" s="33"/>
      <c r="F24" s="33"/>
      <c r="G24" s="33" t="n">
        <v>0</v>
      </c>
      <c r="H24" s="1" t="str">
        <f aca="false">IF(ABS(G24-(SUM(C24:E24)-F24))&lt;0.005,"OK","Check")</f>
        <v>OK</v>
      </c>
    </row>
    <row r="25" customFormat="false" ht="15" hidden="false" customHeight="false" outlineLevel="0" collapsed="false">
      <c r="A25" s="31" t="s">
        <v>98</v>
      </c>
      <c r="B25" s="32" t="n">
        <v>46225</v>
      </c>
      <c r="C25" s="33"/>
      <c r="D25" s="33" t="n">
        <v>660</v>
      </c>
      <c r="E25" s="33"/>
      <c r="F25" s="33"/>
      <c r="G25" s="33" t="n">
        <v>660</v>
      </c>
      <c r="H25" s="1" t="str">
        <f aca="false">IF(ABS(G25-(SUM(C25:E25)-F25))&lt;0.005,"OK","Check")</f>
        <v>OK</v>
      </c>
    </row>
    <row r="26" customFormat="false" ht="15" hidden="false" customHeight="false" outlineLevel="0" collapsed="false">
      <c r="A26" s="31" t="s">
        <v>98</v>
      </c>
      <c r="B26" s="32" t="n">
        <v>46226</v>
      </c>
      <c r="C26" s="33"/>
      <c r="D26" s="33"/>
      <c r="E26" s="33"/>
      <c r="F26" s="33"/>
      <c r="G26" s="33" t="n">
        <v>0</v>
      </c>
      <c r="H26" s="1" t="str">
        <f aca="false">IF(ABS(G26-(SUM(C26:E26)-F26))&lt;0.005,"OK","Check")</f>
        <v>OK</v>
      </c>
    </row>
    <row r="27" customFormat="false" ht="15" hidden="false" customHeight="false" outlineLevel="0" collapsed="false">
      <c r="A27" s="31" t="s">
        <v>98</v>
      </c>
      <c r="B27" s="32" t="n">
        <v>46227</v>
      </c>
      <c r="C27" s="33" t="n">
        <v>228</v>
      </c>
      <c r="D27" s="33"/>
      <c r="E27" s="33" t="n">
        <v>450</v>
      </c>
      <c r="F27" s="33"/>
      <c r="G27" s="33" t="n">
        <v>678</v>
      </c>
      <c r="H27" s="1" t="str">
        <f aca="false">IF(ABS(G27-(SUM(C27:E27)-F27))&lt;0.005,"OK","Check")</f>
        <v>OK</v>
      </c>
    </row>
    <row r="28" customFormat="false" ht="15" hidden="false" customHeight="false" outlineLevel="0" collapsed="false">
      <c r="A28" s="31" t="s">
        <v>98</v>
      </c>
      <c r="B28" s="32" t="n">
        <v>46228</v>
      </c>
      <c r="C28" s="33" t="n">
        <v>191</v>
      </c>
      <c r="D28" s="33"/>
      <c r="E28" s="33" t="n">
        <v>650</v>
      </c>
      <c r="F28" s="33"/>
      <c r="G28" s="33" t="n">
        <v>841</v>
      </c>
      <c r="H28" s="1" t="str">
        <f aca="false">IF(ABS(G28-(SUM(C28:E28)-F28))&lt;0.005,"OK","Check")</f>
        <v>OK</v>
      </c>
    </row>
    <row r="29" customFormat="false" ht="15" hidden="false" customHeight="false" outlineLevel="0" collapsed="false">
      <c r="A29" s="31" t="s">
        <v>98</v>
      </c>
      <c r="B29" s="32" t="n">
        <v>46229</v>
      </c>
      <c r="C29" s="33"/>
      <c r="D29" s="33"/>
      <c r="E29" s="33" t="n">
        <v>1690</v>
      </c>
      <c r="F29" s="33"/>
      <c r="G29" s="33" t="n">
        <v>1690</v>
      </c>
      <c r="H29" s="1" t="str">
        <f aca="false">IF(ABS(G29-(SUM(C29:E29)-F29))&lt;0.005,"OK","Check")</f>
        <v>OK</v>
      </c>
    </row>
    <row r="30" customFormat="false" ht="15" hidden="false" customHeight="false" outlineLevel="0" collapsed="false">
      <c r="A30" s="31" t="s">
        <v>98</v>
      </c>
      <c r="B30" s="32" t="n">
        <v>46230</v>
      </c>
      <c r="C30" s="33"/>
      <c r="D30" s="33"/>
      <c r="E30" s="33" t="n">
        <v>1477</v>
      </c>
      <c r="F30" s="33"/>
      <c r="G30" s="33" t="n">
        <v>1477</v>
      </c>
      <c r="H30" s="1" t="str">
        <f aca="false">IF(ABS(G30-(SUM(C30:E30)-F30))&lt;0.005,"OK","Check")</f>
        <v>OK</v>
      </c>
    </row>
    <row r="31" customFormat="false" ht="15" hidden="false" customHeight="false" outlineLevel="0" collapsed="false">
      <c r="A31" s="31" t="s">
        <v>98</v>
      </c>
      <c r="B31" s="32" t="n">
        <v>46231</v>
      </c>
      <c r="C31" s="33" t="n">
        <v>0</v>
      </c>
      <c r="D31" s="33" t="n">
        <v>204</v>
      </c>
      <c r="E31" s="33"/>
      <c r="F31" s="33"/>
      <c r="G31" s="33" t="n">
        <v>204</v>
      </c>
      <c r="H31" s="1" t="str">
        <f aca="false">IF(ABS(G31-(SUM(C31:E31)-F31))&lt;0.005,"OK","Check")</f>
        <v>OK</v>
      </c>
    </row>
    <row r="32" customFormat="false" ht="15" hidden="false" customHeight="false" outlineLevel="0" collapsed="false">
      <c r="A32" s="31" t="s">
        <v>98</v>
      </c>
      <c r="B32" s="32" t="n">
        <v>46232</v>
      </c>
      <c r="C32" s="33"/>
      <c r="D32" s="33"/>
      <c r="E32" s="33" t="n">
        <v>950</v>
      </c>
      <c r="F32" s="33"/>
      <c r="G32" s="33" t="n">
        <v>950</v>
      </c>
      <c r="H32" s="1" t="str">
        <f aca="false">IF(ABS(G32-(SUM(C32:E32)-F32))&lt;0.005,"OK","Check")</f>
        <v>OK</v>
      </c>
    </row>
    <row r="33" customFormat="false" ht="15" hidden="false" customHeight="false" outlineLevel="0" collapsed="false">
      <c r="A33" s="31" t="s">
        <v>98</v>
      </c>
      <c r="B33" s="32" t="n">
        <v>46233</v>
      </c>
      <c r="C33" s="33"/>
      <c r="D33" s="33" t="n">
        <v>228</v>
      </c>
      <c r="E33" s="33"/>
      <c r="F33" s="33"/>
      <c r="G33" s="33" t="n">
        <v>228</v>
      </c>
      <c r="H33" s="1" t="str">
        <f aca="false">IF(ABS(G33-(SUM(C33:E33)-F33))&lt;0.005,"OK","Check")</f>
        <v>OK</v>
      </c>
    </row>
    <row r="34" customFormat="false" ht="15" hidden="false" customHeight="false" outlineLevel="0" collapsed="false">
      <c r="A34" s="31" t="s">
        <v>98</v>
      </c>
      <c r="B34" s="32" t="n">
        <v>46234</v>
      </c>
      <c r="C34" s="33" t="n">
        <v>166</v>
      </c>
      <c r="D34" s="33" t="n">
        <v>336</v>
      </c>
      <c r="E34" s="33" t="n">
        <v>185</v>
      </c>
      <c r="F34" s="33"/>
      <c r="G34" s="33" t="n">
        <v>687</v>
      </c>
      <c r="H34" s="1" t="str">
        <f aca="false">IF(ABS(G34-(SUM(C34:E34)-F34))&lt;0.005,"OK","Check")</f>
        <v>OK</v>
      </c>
    </row>
    <row r="35" customFormat="false" ht="15" hidden="false" customHeight="false" outlineLevel="0" collapsed="false">
      <c r="A35" s="31" t="s">
        <v>99</v>
      </c>
      <c r="B35" s="32" t="n">
        <v>46235</v>
      </c>
      <c r="C35" s="33" t="n">
        <v>250</v>
      </c>
      <c r="D35" s="33" t="n">
        <v>0</v>
      </c>
      <c r="E35" s="33" t="n">
        <v>945</v>
      </c>
      <c r="F35" s="33"/>
      <c r="G35" s="33" t="n">
        <v>1195</v>
      </c>
      <c r="H35" s="1" t="str">
        <f aca="false">IF(ABS(G35-(SUM(C35:E35)-F35))&lt;0.005,"OK","Check")</f>
        <v>OK</v>
      </c>
    </row>
    <row r="36" customFormat="false" ht="15" hidden="false" customHeight="false" outlineLevel="0" collapsed="false">
      <c r="A36" s="31" t="s">
        <v>99</v>
      </c>
      <c r="B36" s="32" t="n">
        <v>46236</v>
      </c>
      <c r="C36" s="33" t="n">
        <v>785</v>
      </c>
      <c r="D36" s="33" t="n">
        <v>0</v>
      </c>
      <c r="E36" s="33" t="n">
        <v>0</v>
      </c>
      <c r="F36" s="33"/>
      <c r="G36" s="33" t="n">
        <v>785</v>
      </c>
      <c r="H36" s="1" t="str">
        <f aca="false">IF(ABS(G36-(SUM(C36:E36)-F36))&lt;0.005,"OK","Check")</f>
        <v>OK</v>
      </c>
    </row>
    <row r="37" customFormat="false" ht="15" hidden="false" customHeight="false" outlineLevel="0" collapsed="false">
      <c r="A37" s="31" t="s">
        <v>99</v>
      </c>
      <c r="B37" s="32" t="n">
        <v>46237</v>
      </c>
      <c r="C37" s="33" t="n">
        <v>0</v>
      </c>
      <c r="D37" s="33" t="n">
        <v>0</v>
      </c>
      <c r="E37" s="33" t="n">
        <v>0</v>
      </c>
      <c r="F37" s="33"/>
      <c r="G37" s="33" t="n">
        <v>0</v>
      </c>
      <c r="H37" s="1" t="str">
        <f aca="false">IF(ABS(G37-(SUM(C37:E37)-F37))&lt;0.005,"OK","Check")</f>
        <v>OK</v>
      </c>
    </row>
    <row r="38" customFormat="false" ht="15" hidden="false" customHeight="false" outlineLevel="0" collapsed="false">
      <c r="A38" s="31" t="s">
        <v>99</v>
      </c>
      <c r="B38" s="32" t="n">
        <v>46238</v>
      </c>
      <c r="C38" s="33" t="n">
        <v>0</v>
      </c>
      <c r="D38" s="33" t="n">
        <v>0</v>
      </c>
      <c r="E38" s="33" t="n">
        <v>0</v>
      </c>
      <c r="F38" s="33"/>
      <c r="G38" s="33" t="n">
        <v>0</v>
      </c>
      <c r="H38" s="1" t="str">
        <f aca="false">IF(ABS(G38-(SUM(C38:E38)-F38))&lt;0.005,"OK","Check")</f>
        <v>OK</v>
      </c>
    </row>
    <row r="39" customFormat="false" ht="15" hidden="false" customHeight="false" outlineLevel="0" collapsed="false">
      <c r="A39" s="31" t="s">
        <v>99</v>
      </c>
      <c r="B39" s="32" t="n">
        <v>46239</v>
      </c>
      <c r="C39" s="33" t="n">
        <v>0</v>
      </c>
      <c r="D39" s="33" t="n">
        <v>388</v>
      </c>
      <c r="E39" s="33"/>
      <c r="F39" s="33"/>
      <c r="G39" s="33" t="n">
        <v>388</v>
      </c>
      <c r="H39" s="1" t="str">
        <f aca="false">IF(ABS(G39-(SUM(C39:E39)-F39))&lt;0.005,"OK","Check")</f>
        <v>OK</v>
      </c>
    </row>
    <row r="40" customFormat="false" ht="15" hidden="false" customHeight="false" outlineLevel="0" collapsed="false">
      <c r="A40" s="31" t="s">
        <v>99</v>
      </c>
      <c r="B40" s="32" t="n">
        <v>46240</v>
      </c>
      <c r="C40" s="33" t="n">
        <v>0</v>
      </c>
      <c r="D40" s="33" t="n">
        <v>372</v>
      </c>
      <c r="E40" s="33"/>
      <c r="F40" s="33"/>
      <c r="G40" s="33" t="n">
        <v>372</v>
      </c>
      <c r="H40" s="1" t="str">
        <f aca="false">IF(ABS(G40-(SUM(C40:E40)-F40))&lt;0.005,"OK","Check")</f>
        <v>OK</v>
      </c>
    </row>
    <row r="41" customFormat="false" ht="15" hidden="false" customHeight="false" outlineLevel="0" collapsed="false">
      <c r="A41" s="31" t="s">
        <v>99</v>
      </c>
      <c r="B41" s="32" t="n">
        <v>46241</v>
      </c>
      <c r="C41" s="33" t="n">
        <v>0</v>
      </c>
      <c r="D41" s="33" t="n">
        <v>0</v>
      </c>
      <c r="E41" s="33" t="n">
        <v>0</v>
      </c>
      <c r="F41" s="33"/>
      <c r="G41" s="33" t="n">
        <v>0</v>
      </c>
      <c r="H41" s="1" t="str">
        <f aca="false">IF(ABS(G41-(SUM(C41:E41)-F41))&lt;0.005,"OK","Check")</f>
        <v>OK</v>
      </c>
    </row>
    <row r="42" customFormat="false" ht="15" hidden="false" customHeight="false" outlineLevel="0" collapsed="false">
      <c r="A42" s="31" t="s">
        <v>99</v>
      </c>
      <c r="B42" s="32" t="n">
        <v>46242</v>
      </c>
      <c r="C42" s="33" t="n">
        <v>250</v>
      </c>
      <c r="D42" s="33" t="n">
        <v>950</v>
      </c>
      <c r="E42" s="33" t="n">
        <v>0</v>
      </c>
      <c r="F42" s="33"/>
      <c r="G42" s="33" t="n">
        <v>1200</v>
      </c>
      <c r="H42" s="1" t="str">
        <f aca="false">IF(ABS(G42-(SUM(C42:E42)-F42))&lt;0.005,"OK","Check")</f>
        <v>OK</v>
      </c>
    </row>
    <row r="43" customFormat="false" ht="15" hidden="false" customHeight="false" outlineLevel="0" collapsed="false">
      <c r="A43" s="31" t="s">
        <v>99</v>
      </c>
      <c r="B43" s="32" t="n">
        <v>46243</v>
      </c>
      <c r="C43" s="33" t="n">
        <v>415</v>
      </c>
      <c r="D43" s="33" t="n">
        <v>860</v>
      </c>
      <c r="E43" s="33" t="n">
        <v>0</v>
      </c>
      <c r="F43" s="33"/>
      <c r="G43" s="33" t="n">
        <v>1275</v>
      </c>
      <c r="H43" s="1" t="str">
        <f aca="false">IF(ABS(G43-(SUM(C43:E43)-F43))&lt;0.005,"OK","Check")</f>
        <v>OK</v>
      </c>
    </row>
    <row r="44" customFormat="false" ht="15" hidden="false" customHeight="false" outlineLevel="0" collapsed="false">
      <c r="A44" s="31" t="s">
        <v>99</v>
      </c>
      <c r="B44" s="32" t="n">
        <v>46244</v>
      </c>
      <c r="C44" s="33" t="n">
        <v>820</v>
      </c>
      <c r="D44" s="33" t="n">
        <v>400</v>
      </c>
      <c r="E44" s="33" t="n">
        <v>0</v>
      </c>
      <c r="F44" s="33"/>
      <c r="G44" s="33" t="n">
        <v>1220</v>
      </c>
      <c r="H44" s="1" t="str">
        <f aca="false">IF(ABS(G44-(SUM(C44:E44)-F44))&lt;0.005,"OK","Check")</f>
        <v>OK</v>
      </c>
    </row>
    <row r="45" customFormat="false" ht="15" hidden="false" customHeight="false" outlineLevel="0" collapsed="false">
      <c r="A45" s="31" t="s">
        <v>99</v>
      </c>
      <c r="B45" s="32" t="n">
        <v>46245</v>
      </c>
      <c r="C45" s="33" t="n">
        <v>0</v>
      </c>
      <c r="D45" s="33" t="n">
        <v>0</v>
      </c>
      <c r="E45" s="33" t="n">
        <v>0</v>
      </c>
      <c r="F45" s="33"/>
      <c r="G45" s="33" t="n">
        <v>0</v>
      </c>
      <c r="H45" s="1" t="str">
        <f aca="false">IF(ABS(G45-(SUM(C45:E45)-F45))&lt;0.005,"OK","Check")</f>
        <v>OK</v>
      </c>
    </row>
    <row r="46" customFormat="false" ht="15" hidden="false" customHeight="false" outlineLevel="0" collapsed="false">
      <c r="A46" s="31" t="s">
        <v>99</v>
      </c>
      <c r="B46" s="32" t="n">
        <v>46246</v>
      </c>
      <c r="C46" s="33" t="n">
        <v>0</v>
      </c>
      <c r="D46" s="33" t="n">
        <v>0</v>
      </c>
      <c r="E46" s="33"/>
      <c r="F46" s="33"/>
      <c r="G46" s="33" t="n">
        <v>0</v>
      </c>
      <c r="H46" s="1" t="str">
        <f aca="false">IF(ABS(G46-(SUM(C46:E46)-F46))&lt;0.005,"OK","Check")</f>
        <v>OK</v>
      </c>
    </row>
    <row r="47" customFormat="false" ht="15" hidden="false" customHeight="false" outlineLevel="0" collapsed="false">
      <c r="A47" s="31" t="s">
        <v>99</v>
      </c>
      <c r="B47" s="32" t="n">
        <v>46247</v>
      </c>
      <c r="C47" s="33" t="n">
        <v>0</v>
      </c>
      <c r="D47" s="33"/>
      <c r="E47" s="33"/>
      <c r="F47" s="33"/>
      <c r="G47" s="33" t="n">
        <v>0</v>
      </c>
      <c r="H47" s="1" t="str">
        <f aca="false">IF(ABS(G47-(SUM(C47:E47)-F47))&lt;0.005,"OK","Check")</f>
        <v>OK</v>
      </c>
    </row>
    <row r="48" customFormat="false" ht="15" hidden="false" customHeight="false" outlineLevel="0" collapsed="false">
      <c r="A48" s="31" t="s">
        <v>99</v>
      </c>
      <c r="B48" s="32" t="n">
        <v>46248</v>
      </c>
      <c r="C48" s="33" t="n">
        <v>368</v>
      </c>
      <c r="D48" s="33" t="n">
        <v>300</v>
      </c>
      <c r="E48" s="33"/>
      <c r="F48" s="33"/>
      <c r="G48" s="33" t="n">
        <v>668</v>
      </c>
      <c r="H48" s="1" t="str">
        <f aca="false">IF(ABS(G48-(SUM(C48:E48)-F48))&lt;0.005,"OK","Check")</f>
        <v>OK</v>
      </c>
    </row>
    <row r="49" customFormat="false" ht="15" hidden="false" customHeight="false" outlineLevel="0" collapsed="false">
      <c r="A49" s="31" t="s">
        <v>99</v>
      </c>
      <c r="B49" s="32" t="n">
        <v>46249</v>
      </c>
      <c r="C49" s="33" t="n">
        <v>112</v>
      </c>
      <c r="D49" s="33" t="n">
        <v>723</v>
      </c>
      <c r="E49" s="33"/>
      <c r="F49" s="33"/>
      <c r="G49" s="33" t="n">
        <v>835</v>
      </c>
      <c r="H49" s="1" t="str">
        <f aca="false">IF(ABS(G49-(SUM(C49:E49)-F49))&lt;0.005,"OK","Check")</f>
        <v>OK</v>
      </c>
    </row>
    <row r="50" customFormat="false" ht="15" hidden="false" customHeight="false" outlineLevel="0" collapsed="false">
      <c r="A50" s="31" t="s">
        <v>99</v>
      </c>
      <c r="B50" s="32" t="n">
        <v>46250</v>
      </c>
      <c r="C50" s="33" t="n">
        <v>154</v>
      </c>
      <c r="D50" s="33"/>
      <c r="E50" s="33" t="n">
        <v>0</v>
      </c>
      <c r="F50" s="33"/>
      <c r="G50" s="33" t="n">
        <v>154</v>
      </c>
      <c r="H50" s="1" t="str">
        <f aca="false">IF(ABS(G50-(SUM(C50:E50)-F50))&lt;0.005,"OK","Check")</f>
        <v>OK</v>
      </c>
    </row>
    <row r="51" customFormat="false" ht="15" hidden="false" customHeight="false" outlineLevel="0" collapsed="false">
      <c r="A51" s="31" t="s">
        <v>99</v>
      </c>
      <c r="B51" s="32" t="n">
        <v>46251</v>
      </c>
      <c r="C51" s="33" t="n">
        <v>0</v>
      </c>
      <c r="D51" s="33" t="n">
        <v>560</v>
      </c>
      <c r="E51" s="33" t="n">
        <v>0</v>
      </c>
      <c r="F51" s="33"/>
      <c r="G51" s="33" t="n">
        <v>560</v>
      </c>
      <c r="H51" s="1" t="str">
        <f aca="false">IF(ABS(G51-(SUM(C51:E51)-F51))&lt;0.005,"OK","Check")</f>
        <v>OK</v>
      </c>
    </row>
    <row r="52" customFormat="false" ht="15" hidden="false" customHeight="false" outlineLevel="0" collapsed="false">
      <c r="A52" s="31" t="s">
        <v>99</v>
      </c>
      <c r="B52" s="32" t="n">
        <v>46252</v>
      </c>
      <c r="C52" s="33" t="n">
        <v>0</v>
      </c>
      <c r="D52" s="33"/>
      <c r="E52" s="33" t="n">
        <v>717</v>
      </c>
      <c r="F52" s="33"/>
      <c r="G52" s="33" t="n">
        <v>717</v>
      </c>
      <c r="H52" s="1" t="str">
        <f aca="false">IF(ABS(G52-(SUM(C52:E52)-F52))&lt;0.005,"OK","Check")</f>
        <v>OK</v>
      </c>
    </row>
    <row r="53" customFormat="false" ht="15" hidden="false" customHeight="false" outlineLevel="0" collapsed="false">
      <c r="A53" s="31" t="s">
        <v>99</v>
      </c>
      <c r="B53" s="32" t="n">
        <v>46253</v>
      </c>
      <c r="C53" s="33" t="n">
        <v>0</v>
      </c>
      <c r="D53" s="33"/>
      <c r="E53" s="33"/>
      <c r="F53" s="33"/>
      <c r="G53" s="33" t="n">
        <v>0</v>
      </c>
      <c r="H53" s="1" t="str">
        <f aca="false">IF(ABS(G53-(SUM(C53:E53)-F53))&lt;0.005,"OK","Check")</f>
        <v>OK</v>
      </c>
    </row>
    <row r="54" customFormat="false" ht="15" hidden="false" customHeight="false" outlineLevel="0" collapsed="false">
      <c r="A54" s="31" t="s">
        <v>99</v>
      </c>
      <c r="B54" s="32" t="n">
        <v>46254</v>
      </c>
      <c r="C54" s="33" t="n">
        <v>0</v>
      </c>
      <c r="D54" s="33"/>
      <c r="E54" s="33"/>
      <c r="F54" s="33"/>
      <c r="G54" s="33" t="n">
        <v>0</v>
      </c>
      <c r="H54" s="1" t="str">
        <f aca="false">IF(ABS(G54-(SUM(C54:E54)-F54))&lt;0.005,"OK","Check")</f>
        <v>OK</v>
      </c>
    </row>
    <row r="55" customFormat="false" ht="15" hidden="false" customHeight="false" outlineLevel="0" collapsed="false">
      <c r="A55" s="31" t="s">
        <v>99</v>
      </c>
      <c r="B55" s="32" t="n">
        <v>46255</v>
      </c>
      <c r="C55" s="33" t="n">
        <v>538</v>
      </c>
      <c r="D55" s="33" t="n">
        <v>0</v>
      </c>
      <c r="E55" s="33" t="n">
        <v>600</v>
      </c>
      <c r="F55" s="33"/>
      <c r="G55" s="33" t="n">
        <v>1138</v>
      </c>
      <c r="H55" s="1" t="str">
        <f aca="false">IF(ABS(G55-(SUM(C55:E55)-F55))&lt;0.005,"OK","Check")</f>
        <v>OK</v>
      </c>
    </row>
    <row r="56" customFormat="false" ht="15" hidden="false" customHeight="false" outlineLevel="0" collapsed="false">
      <c r="A56" s="31" t="s">
        <v>99</v>
      </c>
      <c r="B56" s="32" t="n">
        <v>46256</v>
      </c>
      <c r="C56" s="33" t="n">
        <v>294</v>
      </c>
      <c r="D56" s="33"/>
      <c r="E56" s="33"/>
      <c r="F56" s="33"/>
      <c r="G56" s="33" t="n">
        <v>294</v>
      </c>
      <c r="H56" s="1" t="str">
        <f aca="false">IF(ABS(G56-(SUM(C56:E56)-F56))&lt;0.005,"OK","Check")</f>
        <v>OK</v>
      </c>
    </row>
    <row r="57" customFormat="false" ht="15" hidden="false" customHeight="false" outlineLevel="0" collapsed="false">
      <c r="A57" s="31" t="s">
        <v>99</v>
      </c>
      <c r="B57" s="32" t="n">
        <v>46257</v>
      </c>
      <c r="C57" s="33" t="n">
        <v>135</v>
      </c>
      <c r="D57" s="33"/>
      <c r="E57" s="33" t="n">
        <v>0</v>
      </c>
      <c r="F57" s="33"/>
      <c r="G57" s="33" t="n">
        <v>135</v>
      </c>
      <c r="H57" s="1" t="str">
        <f aca="false">IF(ABS(G57-(SUM(C57:E57)-F57))&lt;0.005,"OK","Check")</f>
        <v>OK</v>
      </c>
    </row>
    <row r="58" customFormat="false" ht="15" hidden="false" customHeight="false" outlineLevel="0" collapsed="false">
      <c r="A58" s="31" t="s">
        <v>99</v>
      </c>
      <c r="B58" s="32" t="n">
        <v>46258</v>
      </c>
      <c r="C58" s="33" t="n">
        <v>0</v>
      </c>
      <c r="D58" s="33"/>
      <c r="E58" s="33" t="n">
        <v>0</v>
      </c>
      <c r="F58" s="33"/>
      <c r="G58" s="33" t="n">
        <v>0</v>
      </c>
      <c r="H58" s="1" t="str">
        <f aca="false">IF(ABS(G58-(SUM(C58:E58)-F58))&lt;0.005,"OK","Check")</f>
        <v>OK</v>
      </c>
    </row>
    <row r="59" customFormat="false" ht="15" hidden="false" customHeight="false" outlineLevel="0" collapsed="false">
      <c r="A59" s="31" t="s">
        <v>99</v>
      </c>
      <c r="B59" s="32" t="n">
        <v>46259</v>
      </c>
      <c r="C59" s="33" t="n">
        <v>199</v>
      </c>
      <c r="D59" s="33"/>
      <c r="E59" s="33" t="n">
        <v>0</v>
      </c>
      <c r="F59" s="33"/>
      <c r="G59" s="33" t="n">
        <v>199</v>
      </c>
      <c r="H59" s="1" t="str">
        <f aca="false">IF(ABS(G59-(SUM(C59:E59)-F59))&lt;0.005,"OK","Check")</f>
        <v>OK</v>
      </c>
    </row>
    <row r="60" customFormat="false" ht="15" hidden="false" customHeight="false" outlineLevel="0" collapsed="false">
      <c r="A60" s="31" t="s">
        <v>99</v>
      </c>
      <c r="B60" s="32" t="n">
        <v>46260</v>
      </c>
      <c r="C60" s="33" t="n">
        <v>145</v>
      </c>
      <c r="D60" s="33" t="n">
        <v>240</v>
      </c>
      <c r="E60" s="33" t="n">
        <v>510</v>
      </c>
      <c r="F60" s="33"/>
      <c r="G60" s="33" t="n">
        <v>895</v>
      </c>
      <c r="H60" s="1" t="str">
        <f aca="false">IF(ABS(G60-(SUM(C60:E60)-F60))&lt;0.005,"OK","Check")</f>
        <v>OK</v>
      </c>
    </row>
    <row r="61" customFormat="false" ht="15" hidden="false" customHeight="false" outlineLevel="0" collapsed="false">
      <c r="A61" s="31" t="s">
        <v>99</v>
      </c>
      <c r="B61" s="32" t="n">
        <v>46261</v>
      </c>
      <c r="C61" s="33" t="n">
        <v>0</v>
      </c>
      <c r="D61" s="33" t="n">
        <v>0</v>
      </c>
      <c r="E61" s="33"/>
      <c r="F61" s="33"/>
      <c r="G61" s="33" t="n">
        <v>0</v>
      </c>
      <c r="H61" s="1" t="str">
        <f aca="false">IF(ABS(G61-(SUM(C61:E61)-F61))&lt;0.005,"OK","Check")</f>
        <v>OK</v>
      </c>
    </row>
    <row r="62" customFormat="false" ht="15" hidden="false" customHeight="false" outlineLevel="0" collapsed="false">
      <c r="A62" s="31" t="s">
        <v>99</v>
      </c>
      <c r="B62" s="32" t="n">
        <v>46262</v>
      </c>
      <c r="C62" s="33" t="n">
        <v>0</v>
      </c>
      <c r="D62" s="33"/>
      <c r="E62" s="33" t="n">
        <v>700</v>
      </c>
      <c r="F62" s="33"/>
      <c r="G62" s="33" t="n">
        <v>700</v>
      </c>
      <c r="H62" s="1" t="str">
        <f aca="false">IF(ABS(G62-(SUM(C62:E62)-F62))&lt;0.005,"OK","Check")</f>
        <v>OK</v>
      </c>
    </row>
    <row r="63" customFormat="false" ht="15" hidden="false" customHeight="false" outlineLevel="0" collapsed="false">
      <c r="A63" s="31" t="s">
        <v>99</v>
      </c>
      <c r="B63" s="32" t="n">
        <v>46263</v>
      </c>
      <c r="C63" s="33" t="n">
        <v>157</v>
      </c>
      <c r="D63" s="33" t="n">
        <v>0</v>
      </c>
      <c r="E63" s="33" t="n">
        <v>600</v>
      </c>
      <c r="F63" s="33"/>
      <c r="G63" s="33" t="n">
        <v>757</v>
      </c>
      <c r="H63" s="1" t="str">
        <f aca="false">IF(ABS(G63-(SUM(C63:E63)-F63))&lt;0.005,"OK","Check")</f>
        <v>OK</v>
      </c>
    </row>
    <row r="64" customFormat="false" ht="15" hidden="false" customHeight="false" outlineLevel="0" collapsed="false">
      <c r="A64" s="31" t="s">
        <v>99</v>
      </c>
      <c r="B64" s="32" t="n">
        <v>46264</v>
      </c>
      <c r="C64" s="33" t="n">
        <v>167</v>
      </c>
      <c r="D64" s="33" t="n">
        <v>0</v>
      </c>
      <c r="E64" s="33" t="n">
        <v>0</v>
      </c>
      <c r="F64" s="33"/>
      <c r="G64" s="33" t="n">
        <v>167</v>
      </c>
      <c r="H64" s="1" t="str">
        <f aca="false">IF(ABS(G64-(SUM(C64:E64)-F64))&lt;0.005,"OK","Check")</f>
        <v>OK</v>
      </c>
    </row>
    <row r="65" customFormat="false" ht="15" hidden="false" customHeight="false" outlineLevel="0" collapsed="false">
      <c r="A65" s="31" t="s">
        <v>99</v>
      </c>
      <c r="B65" s="32" t="n">
        <v>46265</v>
      </c>
      <c r="C65" s="33" t="n">
        <v>0</v>
      </c>
      <c r="D65" s="33"/>
      <c r="E65" s="33"/>
      <c r="F65" s="33"/>
      <c r="G65" s="33" t="n">
        <v>0</v>
      </c>
      <c r="H65" s="1" t="str">
        <f aca="false">IF(ABS(G65-(SUM(C65:E65)-F65))&lt;0.005,"OK","Check")</f>
        <v>OK</v>
      </c>
    </row>
    <row r="67" customFormat="false" ht="15" hidden="false" customHeight="false" outlineLevel="0" collapsed="false">
      <c r="A67" s="25" t="s">
        <v>100</v>
      </c>
      <c r="B67" s="25"/>
      <c r="C67" s="26" t="n">
        <f aca="false">SUM(C5:C65)</f>
        <v>7367</v>
      </c>
      <c r="D67" s="26" t="n">
        <f aca="false">SUM(D5:D65)</f>
        <v>8513</v>
      </c>
      <c r="E67" s="26" t="n">
        <f aca="false">SUM(E5:E65)</f>
        <v>16869</v>
      </c>
      <c r="F67" s="26" t="n">
        <f aca="false">SUM(F5:F65)</f>
        <v>0</v>
      </c>
      <c r="G67" s="26" t="n">
        <f aca="false">SUM(G5:G65)</f>
        <v>32749</v>
      </c>
      <c r="H67" s="34" t="str">
        <f aca="false">IF(COUNTIF(H5:H65,"Check")=0,"OK","Check")</f>
        <v>OK</v>
      </c>
    </row>
  </sheetData>
  <mergeCells count="3">
    <mergeCell ref="A1:H1"/>
    <mergeCell ref="A2:H2"/>
    <mergeCell ref="A67:B67"/>
  </mergeCells>
  <conditionalFormatting sqref="H5:H65">
    <cfRule type="containsText" priority="2" operator="containsText" aboveAverage="0" equalAverage="0" bottom="0" percent="0" rank="0" text="OK" dxfId="17">
      <formula>NOT(ISERROR(SEARCH("OK",H5)))</formula>
    </cfRule>
    <cfRule type="containsText" priority="3" operator="containsText" aboveAverage="0" equalAverage="0" bottom="0" percent="0" rank="0" text="Check" dxfId="18">
      <formula>NOT(ISERROR(SEARCH("Check",H5)))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7" activeCellId="0" sqref="G7"/>
    </sheetView>
  </sheetViews>
  <sheetFormatPr defaultColWidth="8.6796875" defaultRowHeight="15" customHeight="false" zeroHeight="false" outlineLevelRow="0" outlineLevelCol="0"/>
  <cols>
    <col collapsed="false" customWidth="true" hidden="false" outlineLevel="0" max="3" min="1" style="0" width="20"/>
    <col collapsed="false" customWidth="true" hidden="false" outlineLevel="0" max="5" min="4" style="0" width="15"/>
    <col collapsed="false" customWidth="true" hidden="false" outlineLevel="0" max="6" min="6" style="0" width="28"/>
    <col collapsed="false" customWidth="true" hidden="false" outlineLevel="0" max="7" min="7" style="0" width="34"/>
    <col collapsed="false" customWidth="true" hidden="false" outlineLevel="0" max="11" min="8" style="0" width="27"/>
    <col collapsed="false" customWidth="true" hidden="false" outlineLevel="0" max="12" min="12" style="0" width="50"/>
    <col collapsed="false" customWidth="true" hidden="false" outlineLevel="0" max="15" min="13" style="0" width="17"/>
    <col collapsed="false" customWidth="true" hidden="false" outlineLevel="0" max="17" min="16" style="0" width="18"/>
    <col collapsed="false" customWidth="true" hidden="false" outlineLevel="0" max="18" min="18" style="0" width="48"/>
    <col collapsed="false" customWidth="true" hidden="false" outlineLevel="0" max="20" min="19" style="0" width="16"/>
    <col collapsed="false" customWidth="true" hidden="false" outlineLevel="0" max="21" min="21" style="0" width="18"/>
  </cols>
  <sheetData>
    <row r="1" customFormat="false" ht="30" hidden="false" customHeight="true" outlineLevel="0" collapsed="false">
      <c r="A1" s="35" t="s">
        <v>101</v>
      </c>
      <c r="B1" s="35"/>
      <c r="C1" s="35"/>
      <c r="D1" s="35"/>
      <c r="E1" s="35"/>
      <c r="F1" s="35"/>
      <c r="G1" s="35"/>
      <c r="H1" s="35"/>
      <c r="I1" s="35"/>
      <c r="J1" s="35"/>
      <c r="K1" s="35"/>
      <c r="L1" s="35"/>
      <c r="M1" s="35"/>
      <c r="N1" s="35"/>
      <c r="O1" s="35"/>
      <c r="P1" s="35"/>
      <c r="Q1" s="35"/>
      <c r="R1" s="35"/>
      <c r="S1" s="35"/>
      <c r="T1" s="35"/>
      <c r="U1" s="35"/>
    </row>
    <row r="2" customFormat="false" ht="24" hidden="false" customHeight="true" outlineLevel="0" collapsed="false">
      <c r="A2" s="36"/>
      <c r="B2" s="36"/>
      <c r="C2" s="36"/>
      <c r="D2" s="36"/>
      <c r="E2" s="36"/>
      <c r="F2" s="36"/>
      <c r="G2" s="36"/>
      <c r="H2" s="36"/>
      <c r="I2" s="36"/>
      <c r="J2" s="36"/>
      <c r="K2" s="36"/>
      <c r="L2" s="36"/>
      <c r="M2" s="36"/>
      <c r="N2" s="36"/>
      <c r="O2" s="36"/>
      <c r="P2" s="36"/>
      <c r="Q2" s="36"/>
      <c r="R2" s="36"/>
      <c r="S2" s="36"/>
      <c r="T2" s="36"/>
      <c r="U2" s="36"/>
    </row>
    <row r="4" customFormat="false" ht="31.5" hidden="false" customHeight="true" outlineLevel="0" collapsed="false">
      <c r="A4" s="37" t="s">
        <v>102</v>
      </c>
      <c r="B4" s="38" t="s">
        <v>103</v>
      </c>
      <c r="C4" s="38" t="s">
        <v>104</v>
      </c>
      <c r="D4" s="38" t="s">
        <v>67</v>
      </c>
      <c r="E4" s="38" t="s">
        <v>8</v>
      </c>
      <c r="F4" s="38" t="s">
        <v>105</v>
      </c>
      <c r="G4" s="38" t="s">
        <v>106</v>
      </c>
      <c r="H4" s="38" t="s">
        <v>107</v>
      </c>
      <c r="I4" s="38" t="s">
        <v>10</v>
      </c>
      <c r="J4" s="38" t="s">
        <v>12</v>
      </c>
      <c r="K4" s="38" t="s">
        <v>13</v>
      </c>
      <c r="L4" s="38" t="s">
        <v>108</v>
      </c>
      <c r="M4" s="38" t="s">
        <v>109</v>
      </c>
      <c r="N4" s="38" t="s">
        <v>110</v>
      </c>
      <c r="O4" s="38" t="s">
        <v>111</v>
      </c>
      <c r="P4" s="38" t="s">
        <v>94</v>
      </c>
      <c r="Q4" s="38" t="s">
        <v>112</v>
      </c>
      <c r="R4" s="38" t="s">
        <v>113</v>
      </c>
      <c r="S4" s="38" t="s">
        <v>114</v>
      </c>
      <c r="T4" s="38" t="s">
        <v>115</v>
      </c>
      <c r="U4" s="39" t="s">
        <v>116</v>
      </c>
    </row>
    <row r="5" customFormat="false" ht="15" hidden="false" customHeight="false" outlineLevel="0" collapsed="false">
      <c r="A5" s="40" t="s">
        <v>117</v>
      </c>
      <c r="B5" s="40" t="s">
        <v>117</v>
      </c>
      <c r="C5" s="40" t="s">
        <v>118</v>
      </c>
      <c r="D5" s="41" t="n">
        <v>46203</v>
      </c>
      <c r="E5" s="40" t="s">
        <v>119</v>
      </c>
      <c r="F5" s="40" t="s">
        <v>47</v>
      </c>
      <c r="G5" s="42" t="s">
        <v>120</v>
      </c>
      <c r="H5" s="40" t="s">
        <v>121</v>
      </c>
      <c r="I5" s="40" t="s">
        <v>55</v>
      </c>
      <c r="J5" s="40" t="s">
        <v>29</v>
      </c>
      <c r="K5" s="40" t="s">
        <v>79</v>
      </c>
      <c r="L5" s="42" t="s">
        <v>44</v>
      </c>
      <c r="M5" s="43" t="n">
        <v>152.5</v>
      </c>
      <c r="N5" s="44" t="n">
        <v>0</v>
      </c>
      <c r="O5" s="45"/>
      <c r="P5" s="40" t="s">
        <v>122</v>
      </c>
      <c r="Q5" s="40" t="s">
        <v>123</v>
      </c>
      <c r="R5" s="42" t="s">
        <v>124</v>
      </c>
      <c r="S5" s="40" t="n">
        <v>0</v>
      </c>
      <c r="T5" s="40" t="n">
        <v>0</v>
      </c>
      <c r="U5" s="0" t="n">
        <f aca="false">IF(AND(OR('Daily Profitability'!$E$3="All",ISNUMBER(SEARCH('Daily Profitability'!$E$3,F5))),OR('Daily Profitability'!$H$3="All",I5='Daily Profitability'!$H$3),OR('Daily Profitability'!$K$3="All",J5='Daily Profitability'!$K$3),OR('Daily Profitability'!$N$3="All",K5='Daily Profitability'!$N$3)),1,0)</f>
        <v>0</v>
      </c>
    </row>
    <row r="6" customFormat="false" ht="15" hidden="false" customHeight="false" outlineLevel="0" collapsed="false">
      <c r="A6" s="40" t="s">
        <v>125</v>
      </c>
      <c r="B6" s="40" t="s">
        <v>125</v>
      </c>
      <c r="C6" s="40" t="s">
        <v>126</v>
      </c>
      <c r="D6" s="41" t="n">
        <v>46203</v>
      </c>
      <c r="E6" s="40" t="s">
        <v>119</v>
      </c>
      <c r="F6" s="40" t="s">
        <v>47</v>
      </c>
      <c r="G6" s="42" t="s">
        <v>120</v>
      </c>
      <c r="H6" s="40" t="s">
        <v>127</v>
      </c>
      <c r="I6" s="40" t="s">
        <v>52</v>
      </c>
      <c r="J6" s="40" t="s">
        <v>53</v>
      </c>
      <c r="K6" s="40" t="s">
        <v>38</v>
      </c>
      <c r="L6" s="42" t="s">
        <v>128</v>
      </c>
      <c r="M6" s="43" t="n">
        <v>295</v>
      </c>
      <c r="N6" s="44" t="n">
        <v>0</v>
      </c>
      <c r="O6" s="45"/>
      <c r="P6" s="40" t="s">
        <v>122</v>
      </c>
      <c r="Q6" s="40" t="s">
        <v>129</v>
      </c>
      <c r="R6" s="42" t="s">
        <v>130</v>
      </c>
      <c r="S6" s="40" t="n">
        <v>0</v>
      </c>
      <c r="T6" s="40" t="n">
        <v>0</v>
      </c>
      <c r="U6" s="0" t="n">
        <f aca="false">IF(AND(OR('Daily Profitability'!$E$3="All",ISNUMBER(SEARCH('Daily Profitability'!$E$3,F6))),OR('Daily Profitability'!$H$3="All",I6='Daily Profitability'!$H$3),OR('Daily Profitability'!$K$3="All",J6='Daily Profitability'!$K$3),OR('Daily Profitability'!$N$3="All",K6='Daily Profitability'!$N$3)),1,0)</f>
        <v>0</v>
      </c>
    </row>
    <row r="7" customFormat="false" ht="23.85" hidden="false" customHeight="false" outlineLevel="0" collapsed="false">
      <c r="A7" s="40" t="s">
        <v>131</v>
      </c>
      <c r="B7" s="40" t="s">
        <v>131</v>
      </c>
      <c r="C7" s="40" t="s">
        <v>126</v>
      </c>
      <c r="D7" s="41" t="n">
        <v>46207</v>
      </c>
      <c r="E7" s="40" t="s">
        <v>15</v>
      </c>
      <c r="F7" s="40" t="s">
        <v>16</v>
      </c>
      <c r="G7" s="42" t="s">
        <v>132</v>
      </c>
      <c r="H7" s="40" t="s">
        <v>133</v>
      </c>
      <c r="I7" s="40" t="s">
        <v>17</v>
      </c>
      <c r="J7" s="40" t="s">
        <v>61</v>
      </c>
      <c r="K7" s="40" t="s">
        <v>72</v>
      </c>
      <c r="L7" s="42" t="s">
        <v>134</v>
      </c>
      <c r="M7" s="43" t="n">
        <v>30</v>
      </c>
      <c r="N7" s="44" t="n">
        <v>0</v>
      </c>
      <c r="O7" s="45"/>
      <c r="P7" s="40" t="s">
        <v>135</v>
      </c>
      <c r="Q7" s="40" t="s">
        <v>136</v>
      </c>
      <c r="R7" s="42" t="s">
        <v>137</v>
      </c>
      <c r="S7" s="40" t="n">
        <v>0</v>
      </c>
      <c r="T7" s="40" t="n">
        <v>0</v>
      </c>
      <c r="U7" s="0" t="n">
        <f aca="false">IF(AND(OR('Daily Profitability'!$E$3="All",ISNUMBER(SEARCH('Daily Profitability'!$E$3,F7))),OR('Daily Profitability'!$H$3="All",I7='Daily Profitability'!$H$3),OR('Daily Profitability'!$K$3="All",J7='Daily Profitability'!$K$3),OR('Daily Profitability'!$N$3="All",K7='Daily Profitability'!$N$3)),1,0)</f>
        <v>0</v>
      </c>
    </row>
    <row r="8" customFormat="false" ht="23.85" hidden="false" customHeight="false" outlineLevel="0" collapsed="false">
      <c r="A8" s="40" t="s">
        <v>138</v>
      </c>
      <c r="B8" s="40" t="s">
        <v>138</v>
      </c>
      <c r="C8" s="40" t="s">
        <v>126</v>
      </c>
      <c r="D8" s="41" t="n">
        <v>46207</v>
      </c>
      <c r="E8" s="40" t="s">
        <v>15</v>
      </c>
      <c r="F8" s="40" t="s">
        <v>16</v>
      </c>
      <c r="G8" s="42" t="s">
        <v>132</v>
      </c>
      <c r="H8" s="40" t="s">
        <v>139</v>
      </c>
      <c r="I8" s="40" t="s">
        <v>11</v>
      </c>
      <c r="J8" s="40" t="s">
        <v>11</v>
      </c>
      <c r="K8" s="40" t="s">
        <v>64</v>
      </c>
      <c r="L8" s="42" t="s">
        <v>140</v>
      </c>
      <c r="M8" s="43" t="n">
        <v>5.730337079</v>
      </c>
      <c r="N8" s="44" t="n">
        <v>510000</v>
      </c>
      <c r="O8" s="45" t="n">
        <v>88999.9999945902</v>
      </c>
      <c r="P8" s="40" t="s">
        <v>135</v>
      </c>
      <c r="Q8" s="40" t="s">
        <v>141</v>
      </c>
      <c r="R8" s="42" t="s">
        <v>137</v>
      </c>
      <c r="S8" s="40" t="n">
        <v>0</v>
      </c>
      <c r="T8" s="40" t="n">
        <v>0</v>
      </c>
      <c r="U8" s="0" t="n">
        <f aca="false">IF(AND(OR('Daily Profitability'!$E$3="All",ISNUMBER(SEARCH('Daily Profitability'!$E$3,F8))),OR('Daily Profitability'!$H$3="All",I8='Daily Profitability'!$H$3),OR('Daily Profitability'!$K$3="All",J8='Daily Profitability'!$K$3),OR('Daily Profitability'!$N$3="All",K8='Daily Profitability'!$N$3)),1,0)</f>
        <v>1</v>
      </c>
    </row>
    <row r="9" customFormat="false" ht="23.85" hidden="false" customHeight="false" outlineLevel="0" collapsed="false">
      <c r="A9" s="40" t="s">
        <v>142</v>
      </c>
      <c r="B9" s="40" t="s">
        <v>142</v>
      </c>
      <c r="C9" s="40" t="s">
        <v>118</v>
      </c>
      <c r="D9" s="41" t="n">
        <v>46207</v>
      </c>
      <c r="E9" s="40" t="s">
        <v>15</v>
      </c>
      <c r="F9" s="40" t="s">
        <v>16</v>
      </c>
      <c r="G9" s="42" t="s">
        <v>132</v>
      </c>
      <c r="H9" s="40" t="s">
        <v>139</v>
      </c>
      <c r="I9" s="40" t="s">
        <v>11</v>
      </c>
      <c r="J9" s="40" t="s">
        <v>11</v>
      </c>
      <c r="K9" s="40" t="s">
        <v>78</v>
      </c>
      <c r="L9" s="42" t="s">
        <v>143</v>
      </c>
      <c r="M9" s="43" t="n">
        <v>100.9</v>
      </c>
      <c r="N9" s="44" t="n">
        <v>0</v>
      </c>
      <c r="O9" s="45"/>
      <c r="P9" s="40" t="s">
        <v>135</v>
      </c>
      <c r="Q9" s="40" t="s">
        <v>144</v>
      </c>
      <c r="R9" s="42" t="s">
        <v>137</v>
      </c>
      <c r="S9" s="40" t="n">
        <v>0</v>
      </c>
      <c r="T9" s="40" t="n">
        <v>0</v>
      </c>
      <c r="U9" s="0" t="n">
        <f aca="false">IF(AND(OR('Daily Profitability'!$E$3="All",ISNUMBER(SEARCH('Daily Profitability'!$E$3,F9))),OR('Daily Profitability'!$H$3="All",I9='Daily Profitability'!$H$3),OR('Daily Profitability'!$K$3="All",J9='Daily Profitability'!$K$3),OR('Daily Profitability'!$N$3="All",K9='Daily Profitability'!$N$3)),1,0)</f>
        <v>1</v>
      </c>
    </row>
    <row r="10" customFormat="false" ht="23.85" hidden="false" customHeight="false" outlineLevel="0" collapsed="false">
      <c r="A10" s="40" t="s">
        <v>145</v>
      </c>
      <c r="B10" s="40" t="s">
        <v>145</v>
      </c>
      <c r="C10" s="40" t="s">
        <v>126</v>
      </c>
      <c r="D10" s="41" t="n">
        <v>46207</v>
      </c>
      <c r="E10" s="40" t="s">
        <v>15</v>
      </c>
      <c r="F10" s="40" t="s">
        <v>16</v>
      </c>
      <c r="G10" s="42" t="s">
        <v>132</v>
      </c>
      <c r="H10" s="40" t="s">
        <v>127</v>
      </c>
      <c r="I10" s="40" t="s">
        <v>52</v>
      </c>
      <c r="J10" s="40" t="s">
        <v>63</v>
      </c>
      <c r="K10" s="40" t="s">
        <v>91</v>
      </c>
      <c r="L10" s="42" t="s">
        <v>146</v>
      </c>
      <c r="M10" s="43" t="n">
        <v>80</v>
      </c>
      <c r="N10" s="44" t="n">
        <v>0</v>
      </c>
      <c r="O10" s="45"/>
      <c r="P10" s="40" t="s">
        <v>135</v>
      </c>
      <c r="Q10" s="40" t="s">
        <v>147</v>
      </c>
      <c r="R10" s="42" t="s">
        <v>137</v>
      </c>
      <c r="S10" s="40" t="n">
        <v>0</v>
      </c>
      <c r="T10" s="40" t="n">
        <v>0</v>
      </c>
      <c r="U10" s="0" t="n">
        <f aca="false">IF(AND(OR('Daily Profitability'!$E$3="All",ISNUMBER(SEARCH('Daily Profitability'!$E$3,F10))),OR('Daily Profitability'!$H$3="All",I10='Daily Profitability'!$H$3),OR('Daily Profitability'!$K$3="All",J10='Daily Profitability'!$K$3),OR('Daily Profitability'!$N$3="All",K10='Daily Profitability'!$N$3)),1,0)</f>
        <v>0</v>
      </c>
    </row>
    <row r="11" customFormat="false" ht="23.85" hidden="false" customHeight="false" outlineLevel="0" collapsed="false">
      <c r="A11" s="40" t="s">
        <v>148</v>
      </c>
      <c r="B11" s="40" t="s">
        <v>148</v>
      </c>
      <c r="C11" s="40" t="s">
        <v>118</v>
      </c>
      <c r="D11" s="41" t="n">
        <v>46207</v>
      </c>
      <c r="E11" s="40" t="s">
        <v>15</v>
      </c>
      <c r="F11" s="40" t="s">
        <v>16</v>
      </c>
      <c r="G11" s="42" t="s">
        <v>132</v>
      </c>
      <c r="H11" s="40" t="s">
        <v>127</v>
      </c>
      <c r="I11" s="40" t="s">
        <v>52</v>
      </c>
      <c r="J11" s="40" t="s">
        <v>34</v>
      </c>
      <c r="K11" s="40" t="s">
        <v>50</v>
      </c>
      <c r="L11" s="42" t="s">
        <v>34</v>
      </c>
      <c r="M11" s="43" t="n">
        <v>51.08</v>
      </c>
      <c r="N11" s="44" t="n">
        <v>0</v>
      </c>
      <c r="O11" s="45"/>
      <c r="P11" s="40" t="s">
        <v>135</v>
      </c>
      <c r="Q11" s="40" t="s">
        <v>129</v>
      </c>
      <c r="R11" s="42" t="s">
        <v>137</v>
      </c>
      <c r="S11" s="40" t="n">
        <v>0</v>
      </c>
      <c r="T11" s="40" t="n">
        <v>0</v>
      </c>
      <c r="U11" s="0" t="n">
        <f aca="false">IF(AND(OR('Daily Profitability'!$E$3="All",ISNUMBER(SEARCH('Daily Profitability'!$E$3,F11))),OR('Daily Profitability'!$H$3="All",I11='Daily Profitability'!$H$3),OR('Daily Profitability'!$K$3="All",J11='Daily Profitability'!$K$3),OR('Daily Profitability'!$N$3="All",K11='Daily Profitability'!$N$3)),1,0)</f>
        <v>0</v>
      </c>
    </row>
    <row r="12" customFormat="false" ht="23.85" hidden="false" customHeight="false" outlineLevel="0" collapsed="false">
      <c r="A12" s="40" t="s">
        <v>149</v>
      </c>
      <c r="B12" s="40" t="s">
        <v>149</v>
      </c>
      <c r="C12" s="40" t="s">
        <v>126</v>
      </c>
      <c r="D12" s="41" t="n">
        <v>46207</v>
      </c>
      <c r="E12" s="40" t="s">
        <v>15</v>
      </c>
      <c r="F12" s="40" t="s">
        <v>16</v>
      </c>
      <c r="G12" s="42" t="s">
        <v>132</v>
      </c>
      <c r="H12" s="40" t="s">
        <v>150</v>
      </c>
      <c r="I12" s="40" t="s">
        <v>55</v>
      </c>
      <c r="J12" s="40" t="s">
        <v>29</v>
      </c>
      <c r="K12" s="40" t="s">
        <v>86</v>
      </c>
      <c r="L12" s="42" t="s">
        <v>44</v>
      </c>
      <c r="M12" s="43" t="n">
        <v>37.27</v>
      </c>
      <c r="N12" s="44" t="n">
        <v>0</v>
      </c>
      <c r="O12" s="45"/>
      <c r="P12" s="40" t="s">
        <v>135</v>
      </c>
      <c r="Q12" s="40" t="s">
        <v>151</v>
      </c>
      <c r="R12" s="42" t="s">
        <v>137</v>
      </c>
      <c r="S12" s="40" t="n">
        <v>0</v>
      </c>
      <c r="T12" s="40" t="n">
        <v>0</v>
      </c>
      <c r="U12" s="0" t="n">
        <f aca="false">IF(AND(OR('Daily Profitability'!$E$3="All",ISNUMBER(SEARCH('Daily Profitability'!$E$3,F12))),OR('Daily Profitability'!$H$3="All",I12='Daily Profitability'!$H$3),OR('Daily Profitability'!$K$3="All",J12='Daily Profitability'!$K$3),OR('Daily Profitability'!$N$3="All",K12='Daily Profitability'!$N$3)),1,0)</f>
        <v>0</v>
      </c>
    </row>
    <row r="13" customFormat="false" ht="23.85" hidden="false" customHeight="false" outlineLevel="0" collapsed="false">
      <c r="A13" s="40" t="s">
        <v>152</v>
      </c>
      <c r="B13" s="40" t="s">
        <v>152</v>
      </c>
      <c r="C13" s="40" t="s">
        <v>118</v>
      </c>
      <c r="D13" s="41" t="n">
        <v>46207</v>
      </c>
      <c r="E13" s="40" t="s">
        <v>15</v>
      </c>
      <c r="F13" s="40" t="s">
        <v>16</v>
      </c>
      <c r="G13" s="42" t="s">
        <v>132</v>
      </c>
      <c r="H13" s="40" t="s">
        <v>150</v>
      </c>
      <c r="I13" s="40" t="s">
        <v>55</v>
      </c>
      <c r="J13" s="40" t="s">
        <v>29</v>
      </c>
      <c r="K13" s="40" t="s">
        <v>57</v>
      </c>
      <c r="L13" s="42" t="s">
        <v>134</v>
      </c>
      <c r="M13" s="43" t="n">
        <v>32.31</v>
      </c>
      <c r="N13" s="44" t="n">
        <v>0</v>
      </c>
      <c r="O13" s="45"/>
      <c r="P13" s="40" t="s">
        <v>135</v>
      </c>
      <c r="Q13" s="40" t="s">
        <v>153</v>
      </c>
      <c r="R13" s="42" t="s">
        <v>137</v>
      </c>
      <c r="S13" s="40" t="n">
        <v>0</v>
      </c>
      <c r="T13" s="40" t="n">
        <v>0</v>
      </c>
      <c r="U13" s="0" t="n">
        <f aca="false">IF(AND(OR('Daily Profitability'!$E$3="All",ISNUMBER(SEARCH('Daily Profitability'!$E$3,F13))),OR('Daily Profitability'!$H$3="All",I13='Daily Profitability'!$H$3),OR('Daily Profitability'!$K$3="All",J13='Daily Profitability'!$K$3),OR('Daily Profitability'!$N$3="All",K13='Daily Profitability'!$N$3)),1,0)</f>
        <v>0</v>
      </c>
    </row>
    <row r="14" customFormat="false" ht="23.85" hidden="false" customHeight="false" outlineLevel="0" collapsed="false">
      <c r="A14" s="40" t="s">
        <v>154</v>
      </c>
      <c r="B14" s="40" t="s">
        <v>154</v>
      </c>
      <c r="C14" s="40" t="s">
        <v>118</v>
      </c>
      <c r="D14" s="41" t="n">
        <v>46208</v>
      </c>
      <c r="E14" s="40" t="s">
        <v>15</v>
      </c>
      <c r="F14" s="40" t="s">
        <v>16</v>
      </c>
      <c r="G14" s="42" t="s">
        <v>16</v>
      </c>
      <c r="H14" s="40" t="s">
        <v>139</v>
      </c>
      <c r="I14" s="40" t="s">
        <v>11</v>
      </c>
      <c r="J14" s="40" t="s">
        <v>11</v>
      </c>
      <c r="K14" s="40" t="s">
        <v>78</v>
      </c>
      <c r="L14" s="42" t="s">
        <v>155</v>
      </c>
      <c r="M14" s="43" t="n">
        <v>41.3</v>
      </c>
      <c r="N14" s="44" t="n">
        <v>0</v>
      </c>
      <c r="O14" s="45"/>
      <c r="P14" s="40" t="s">
        <v>156</v>
      </c>
      <c r="Q14" s="40" t="s">
        <v>157</v>
      </c>
      <c r="R14" s="42" t="s">
        <v>137</v>
      </c>
      <c r="S14" s="40" t="n">
        <v>0</v>
      </c>
      <c r="T14" s="40" t="n">
        <v>0</v>
      </c>
      <c r="U14" s="0" t="n">
        <f aca="false">IF(AND(OR('Daily Profitability'!$E$3="All",ISNUMBER(SEARCH('Daily Profitability'!$E$3,F14))),OR('Daily Profitability'!$H$3="All",I14='Daily Profitability'!$H$3),OR('Daily Profitability'!$K$3="All",J14='Daily Profitability'!$K$3),OR('Daily Profitability'!$N$3="All",K14='Daily Profitability'!$N$3)),1,0)</f>
        <v>1</v>
      </c>
    </row>
    <row r="15" customFormat="false" ht="15" hidden="false" customHeight="false" outlineLevel="0" collapsed="false">
      <c r="A15" s="40" t="s">
        <v>158</v>
      </c>
      <c r="B15" s="40" t="s">
        <v>158</v>
      </c>
      <c r="C15" s="40" t="s">
        <v>118</v>
      </c>
      <c r="D15" s="41" t="n">
        <v>46208</v>
      </c>
      <c r="E15" s="40" t="s">
        <v>15</v>
      </c>
      <c r="F15" s="40" t="s">
        <v>16</v>
      </c>
      <c r="G15" s="42" t="s">
        <v>16</v>
      </c>
      <c r="H15" s="40" t="s">
        <v>139</v>
      </c>
      <c r="I15" s="40" t="s">
        <v>11</v>
      </c>
      <c r="J15" s="40" t="s">
        <v>11</v>
      </c>
      <c r="K15" s="40" t="s">
        <v>88</v>
      </c>
      <c r="L15" s="42" t="s">
        <v>159</v>
      </c>
      <c r="M15" s="43" t="n">
        <v>28.79</v>
      </c>
      <c r="N15" s="44" t="n">
        <v>0</v>
      </c>
      <c r="O15" s="45"/>
      <c r="P15" s="40" t="s">
        <v>156</v>
      </c>
      <c r="Q15" s="40" t="s">
        <v>141</v>
      </c>
      <c r="R15" s="42" t="s">
        <v>137</v>
      </c>
      <c r="S15" s="40" t="n">
        <v>0</v>
      </c>
      <c r="T15" s="40" t="n">
        <v>0</v>
      </c>
      <c r="U15" s="0" t="n">
        <f aca="false">IF(AND(OR('Daily Profitability'!$E$3="All",ISNUMBER(SEARCH('Daily Profitability'!$E$3,F15))),OR('Daily Profitability'!$H$3="All",I15='Daily Profitability'!$H$3),OR('Daily Profitability'!$K$3="All",J15='Daily Profitability'!$K$3),OR('Daily Profitability'!$N$3="All",K15='Daily Profitability'!$N$3)),1,0)</f>
        <v>1</v>
      </c>
    </row>
    <row r="16" customFormat="false" ht="23.85" hidden="false" customHeight="false" outlineLevel="0" collapsed="false">
      <c r="A16" s="40" t="s">
        <v>160</v>
      </c>
      <c r="B16" s="40" t="s">
        <v>160</v>
      </c>
      <c r="C16" s="40" t="s">
        <v>118</v>
      </c>
      <c r="D16" s="41" t="n">
        <v>46208</v>
      </c>
      <c r="E16" s="40" t="s">
        <v>15</v>
      </c>
      <c r="F16" s="40" t="s">
        <v>16</v>
      </c>
      <c r="G16" s="42" t="s">
        <v>16</v>
      </c>
      <c r="H16" s="40" t="s">
        <v>139</v>
      </c>
      <c r="I16" s="40" t="s">
        <v>11</v>
      </c>
      <c r="J16" s="40" t="s">
        <v>11</v>
      </c>
      <c r="K16" s="40" t="s">
        <v>78</v>
      </c>
      <c r="L16" s="42" t="s">
        <v>161</v>
      </c>
      <c r="M16" s="43" t="n">
        <v>177.87</v>
      </c>
      <c r="N16" s="44" t="n">
        <v>0</v>
      </c>
      <c r="O16" s="45"/>
      <c r="P16" s="40" t="s">
        <v>156</v>
      </c>
      <c r="Q16" s="40" t="s">
        <v>144</v>
      </c>
      <c r="R16" s="42" t="s">
        <v>137</v>
      </c>
      <c r="S16" s="40" t="n">
        <v>0</v>
      </c>
      <c r="T16" s="40" t="n">
        <v>0</v>
      </c>
      <c r="U16" s="0" t="n">
        <f aca="false">IF(AND(OR('Daily Profitability'!$E$3="All",ISNUMBER(SEARCH('Daily Profitability'!$E$3,F16))),OR('Daily Profitability'!$H$3="All",I16='Daily Profitability'!$H$3),OR('Daily Profitability'!$K$3="All",J16='Daily Profitability'!$K$3),OR('Daily Profitability'!$N$3="All",K16='Daily Profitability'!$N$3)),1,0)</f>
        <v>1</v>
      </c>
    </row>
    <row r="17" customFormat="false" ht="15" hidden="false" customHeight="false" outlineLevel="0" collapsed="false">
      <c r="A17" s="40" t="s">
        <v>162</v>
      </c>
      <c r="B17" s="40" t="s">
        <v>162</v>
      </c>
      <c r="C17" s="40" t="s">
        <v>118</v>
      </c>
      <c r="D17" s="41" t="n">
        <v>46208</v>
      </c>
      <c r="E17" s="40" t="s">
        <v>15</v>
      </c>
      <c r="F17" s="40" t="s">
        <v>16</v>
      </c>
      <c r="G17" s="42" t="s">
        <v>16</v>
      </c>
      <c r="H17" s="40" t="s">
        <v>139</v>
      </c>
      <c r="I17" s="40" t="s">
        <v>11</v>
      </c>
      <c r="J17" s="40" t="s">
        <v>11</v>
      </c>
      <c r="K17" s="40" t="s">
        <v>86</v>
      </c>
      <c r="L17" s="42" t="s">
        <v>163</v>
      </c>
      <c r="M17" s="43" t="n">
        <v>199.47</v>
      </c>
      <c r="N17" s="44" t="n">
        <v>0</v>
      </c>
      <c r="O17" s="45"/>
      <c r="P17" s="40" t="s">
        <v>156</v>
      </c>
      <c r="Q17" s="40" t="s">
        <v>164</v>
      </c>
      <c r="R17" s="42" t="s">
        <v>137</v>
      </c>
      <c r="S17" s="40" t="n">
        <v>0</v>
      </c>
      <c r="T17" s="40" t="n">
        <v>0</v>
      </c>
      <c r="U17" s="0" t="n">
        <f aca="false">IF(AND(OR('Daily Profitability'!$E$3="All",ISNUMBER(SEARCH('Daily Profitability'!$E$3,F17))),OR('Daily Profitability'!$H$3="All",I17='Daily Profitability'!$H$3),OR('Daily Profitability'!$K$3="All",J17='Daily Profitability'!$K$3),OR('Daily Profitability'!$N$3="All",K17='Daily Profitability'!$N$3)),1,0)</f>
        <v>1</v>
      </c>
    </row>
    <row r="18" customFormat="false" ht="15" hidden="false" customHeight="false" outlineLevel="0" collapsed="false">
      <c r="A18" s="40" t="s">
        <v>165</v>
      </c>
      <c r="B18" s="40" t="s">
        <v>165</v>
      </c>
      <c r="C18" s="40" t="s">
        <v>118</v>
      </c>
      <c r="D18" s="41" t="n">
        <v>46208</v>
      </c>
      <c r="E18" s="40" t="s">
        <v>15</v>
      </c>
      <c r="F18" s="40" t="s">
        <v>16</v>
      </c>
      <c r="G18" s="42" t="s">
        <v>16</v>
      </c>
      <c r="H18" s="40" t="s">
        <v>139</v>
      </c>
      <c r="I18" s="40" t="s">
        <v>11</v>
      </c>
      <c r="J18" s="40" t="s">
        <v>11</v>
      </c>
      <c r="K18" s="40" t="s">
        <v>75</v>
      </c>
      <c r="L18" s="42" t="s">
        <v>134</v>
      </c>
      <c r="M18" s="43" t="n">
        <v>63.28</v>
      </c>
      <c r="N18" s="44" t="n">
        <v>0</v>
      </c>
      <c r="O18" s="45"/>
      <c r="P18" s="40" t="s">
        <v>156</v>
      </c>
      <c r="Q18" s="40" t="s">
        <v>129</v>
      </c>
      <c r="R18" s="42" t="s">
        <v>137</v>
      </c>
      <c r="S18" s="40" t="n">
        <v>0</v>
      </c>
      <c r="T18" s="40" t="n">
        <v>0</v>
      </c>
      <c r="U18" s="0" t="n">
        <f aca="false">IF(AND(OR('Daily Profitability'!$E$3="All",ISNUMBER(SEARCH('Daily Profitability'!$E$3,F18))),OR('Daily Profitability'!$H$3="All",I18='Daily Profitability'!$H$3),OR('Daily Profitability'!$K$3="All",J18='Daily Profitability'!$K$3),OR('Daily Profitability'!$N$3="All",K18='Daily Profitability'!$N$3)),1,0)</f>
        <v>1</v>
      </c>
    </row>
    <row r="19" customFormat="false" ht="15" hidden="false" customHeight="false" outlineLevel="0" collapsed="false">
      <c r="A19" s="40" t="s">
        <v>166</v>
      </c>
      <c r="B19" s="40" t="s">
        <v>166</v>
      </c>
      <c r="C19" s="40" t="s">
        <v>126</v>
      </c>
      <c r="D19" s="41" t="n">
        <v>46211</v>
      </c>
      <c r="E19" s="40" t="s">
        <v>15</v>
      </c>
      <c r="F19" s="40" t="s">
        <v>16</v>
      </c>
      <c r="G19" s="42" t="s">
        <v>16</v>
      </c>
      <c r="H19" s="40" t="s">
        <v>127</v>
      </c>
      <c r="I19" s="40" t="s">
        <v>52</v>
      </c>
      <c r="J19" s="40" t="s">
        <v>53</v>
      </c>
      <c r="K19" s="40" t="s">
        <v>54</v>
      </c>
      <c r="L19" s="42" t="s">
        <v>167</v>
      </c>
      <c r="M19" s="43" t="n">
        <v>160</v>
      </c>
      <c r="N19" s="44" t="n">
        <v>0</v>
      </c>
      <c r="O19" s="45"/>
      <c r="P19" s="40" t="s">
        <v>168</v>
      </c>
      <c r="Q19" s="40" t="s">
        <v>169</v>
      </c>
      <c r="R19" s="42" t="s">
        <v>137</v>
      </c>
      <c r="S19" s="40" t="n">
        <v>0</v>
      </c>
      <c r="T19" s="40" t="n">
        <v>0</v>
      </c>
      <c r="U19" s="0" t="n">
        <f aca="false">IF(AND(OR('Daily Profitability'!$E$3="All",ISNUMBER(SEARCH('Daily Profitability'!$E$3,F19))),OR('Daily Profitability'!$H$3="All",I19='Daily Profitability'!$H$3),OR('Daily Profitability'!$K$3="All",J19='Daily Profitability'!$K$3),OR('Daily Profitability'!$N$3="All",K19='Daily Profitability'!$N$3)),1,0)</f>
        <v>0</v>
      </c>
    </row>
    <row r="20" customFormat="false" ht="15" hidden="false" customHeight="false" outlineLevel="0" collapsed="false">
      <c r="A20" s="40" t="s">
        <v>170</v>
      </c>
      <c r="B20" s="40" t="s">
        <v>170</v>
      </c>
      <c r="C20" s="40" t="s">
        <v>126</v>
      </c>
      <c r="D20" s="41" t="n">
        <v>46211</v>
      </c>
      <c r="E20" s="40" t="s">
        <v>15</v>
      </c>
      <c r="F20" s="40" t="s">
        <v>16</v>
      </c>
      <c r="G20" s="42" t="s">
        <v>16</v>
      </c>
      <c r="H20" s="40" t="s">
        <v>150</v>
      </c>
      <c r="I20" s="40" t="s">
        <v>55</v>
      </c>
      <c r="J20" s="40" t="s">
        <v>29</v>
      </c>
      <c r="K20" s="40" t="s">
        <v>79</v>
      </c>
      <c r="L20" s="42" t="s">
        <v>44</v>
      </c>
      <c r="M20" s="43" t="n">
        <v>18</v>
      </c>
      <c r="N20" s="44" t="n">
        <v>0</v>
      </c>
      <c r="O20" s="45"/>
      <c r="P20" s="40" t="s">
        <v>168</v>
      </c>
      <c r="Q20" s="40" t="s">
        <v>171</v>
      </c>
      <c r="R20" s="42" t="s">
        <v>137</v>
      </c>
      <c r="S20" s="40" t="n">
        <v>0</v>
      </c>
      <c r="T20" s="40" t="n">
        <v>0</v>
      </c>
      <c r="U20" s="0" t="n">
        <f aca="false">IF(AND(OR('Daily Profitability'!$E$3="All",ISNUMBER(SEARCH('Daily Profitability'!$E$3,F20))),OR('Daily Profitability'!$H$3="All",I20='Daily Profitability'!$H$3),OR('Daily Profitability'!$K$3="All",J20='Daily Profitability'!$K$3),OR('Daily Profitability'!$N$3="All",K20='Daily Profitability'!$N$3)),1,0)</f>
        <v>0</v>
      </c>
    </row>
    <row r="21" customFormat="false" ht="23.85" hidden="false" customHeight="false" outlineLevel="0" collapsed="false">
      <c r="A21" s="40" t="s">
        <v>172</v>
      </c>
      <c r="B21" s="40" t="s">
        <v>172</v>
      </c>
      <c r="C21" s="40" t="s">
        <v>126</v>
      </c>
      <c r="D21" s="41" t="n">
        <v>46211</v>
      </c>
      <c r="E21" s="40" t="s">
        <v>15</v>
      </c>
      <c r="F21" s="40" t="s">
        <v>16</v>
      </c>
      <c r="G21" s="42" t="s">
        <v>16</v>
      </c>
      <c r="H21" s="40" t="s">
        <v>139</v>
      </c>
      <c r="I21" s="40" t="s">
        <v>11</v>
      </c>
      <c r="J21" s="40" t="s">
        <v>11</v>
      </c>
      <c r="K21" s="40" t="s">
        <v>38</v>
      </c>
      <c r="L21" s="42" t="s">
        <v>173</v>
      </c>
      <c r="M21" s="43" t="n">
        <v>88.34</v>
      </c>
      <c r="N21" s="44" t="n">
        <v>0</v>
      </c>
      <c r="O21" s="45"/>
      <c r="P21" s="40" t="s">
        <v>168</v>
      </c>
      <c r="Q21" s="40" t="s">
        <v>144</v>
      </c>
      <c r="R21" s="42" t="s">
        <v>174</v>
      </c>
      <c r="S21" s="40" t="n">
        <v>0</v>
      </c>
      <c r="T21" s="40" t="n">
        <v>0</v>
      </c>
      <c r="U21" s="0" t="n">
        <f aca="false">IF(AND(OR('Daily Profitability'!$E$3="All",ISNUMBER(SEARCH('Daily Profitability'!$E$3,F21))),OR('Daily Profitability'!$H$3="All",I21='Daily Profitability'!$H$3),OR('Daily Profitability'!$K$3="All",J21='Daily Profitability'!$K$3),OR('Daily Profitability'!$N$3="All",K21='Daily Profitability'!$N$3)),1,0)</f>
        <v>1</v>
      </c>
    </row>
    <row r="22" customFormat="false" ht="15" hidden="false" customHeight="false" outlineLevel="0" collapsed="false">
      <c r="A22" s="40" t="s">
        <v>175</v>
      </c>
      <c r="B22" s="40" t="s">
        <v>175</v>
      </c>
      <c r="C22" s="40" t="s">
        <v>126</v>
      </c>
      <c r="D22" s="41" t="n">
        <v>46213</v>
      </c>
      <c r="E22" s="40" t="s">
        <v>15</v>
      </c>
      <c r="F22" s="40" t="s">
        <v>38</v>
      </c>
      <c r="G22" s="42" t="s">
        <v>176</v>
      </c>
      <c r="H22" s="40" t="s">
        <v>177</v>
      </c>
      <c r="I22" s="40" t="s">
        <v>42</v>
      </c>
      <c r="J22" s="40" t="s">
        <v>18</v>
      </c>
      <c r="K22" s="40" t="s">
        <v>87</v>
      </c>
      <c r="L22" s="42" t="s">
        <v>178</v>
      </c>
      <c r="M22" s="43" t="n">
        <v>6</v>
      </c>
      <c r="N22" s="44" t="n">
        <v>0</v>
      </c>
      <c r="O22" s="45"/>
      <c r="P22" s="40" t="s">
        <v>179</v>
      </c>
      <c r="Q22" s="40" t="s">
        <v>169</v>
      </c>
      <c r="R22" s="42" t="s">
        <v>137</v>
      </c>
      <c r="S22" s="40" t="n">
        <v>0</v>
      </c>
      <c r="T22" s="40" t="n">
        <v>0</v>
      </c>
      <c r="U22" s="0" t="n">
        <f aca="false">IF(AND(OR('Daily Profitability'!$E$3="All",ISNUMBER(SEARCH('Daily Profitability'!$E$3,F22))),OR('Daily Profitability'!$H$3="All",I22='Daily Profitability'!$H$3),OR('Daily Profitability'!$K$3="All",J22='Daily Profitability'!$K$3),OR('Daily Profitability'!$N$3="All",K22='Daily Profitability'!$N$3)),1,0)</f>
        <v>0</v>
      </c>
    </row>
    <row r="23" customFormat="false" ht="15" hidden="false" customHeight="false" outlineLevel="0" collapsed="false">
      <c r="A23" s="40" t="s">
        <v>180</v>
      </c>
      <c r="B23" s="40" t="s">
        <v>180</v>
      </c>
      <c r="C23" s="40" t="s">
        <v>126</v>
      </c>
      <c r="D23" s="41" t="n">
        <v>46213</v>
      </c>
      <c r="E23" s="40" t="s">
        <v>15</v>
      </c>
      <c r="F23" s="40" t="s">
        <v>38</v>
      </c>
      <c r="G23" s="42" t="s">
        <v>176</v>
      </c>
      <c r="H23" s="40" t="s">
        <v>139</v>
      </c>
      <c r="I23" s="40" t="s">
        <v>11</v>
      </c>
      <c r="J23" s="40" t="s">
        <v>11</v>
      </c>
      <c r="K23" s="40" t="s">
        <v>35</v>
      </c>
      <c r="L23" s="42" t="s">
        <v>181</v>
      </c>
      <c r="M23" s="43" t="n">
        <v>130.72</v>
      </c>
      <c r="N23" s="44" t="n">
        <v>0</v>
      </c>
      <c r="O23" s="45"/>
      <c r="P23" s="40" t="s">
        <v>179</v>
      </c>
      <c r="Q23" s="40" t="s">
        <v>171</v>
      </c>
      <c r="R23" s="42" t="s">
        <v>137</v>
      </c>
      <c r="S23" s="40" t="n">
        <v>0</v>
      </c>
      <c r="T23" s="40" t="n">
        <v>0</v>
      </c>
      <c r="U23" s="0" t="n">
        <f aca="false">IF(AND(OR('Daily Profitability'!$E$3="All",ISNUMBER(SEARCH('Daily Profitability'!$E$3,F23))),OR('Daily Profitability'!$H$3="All",I23='Daily Profitability'!$H$3),OR('Daily Profitability'!$K$3="All",J23='Daily Profitability'!$K$3),OR('Daily Profitability'!$N$3="All",K23='Daily Profitability'!$N$3)),1,0)</f>
        <v>1</v>
      </c>
    </row>
    <row r="24" customFormat="false" ht="15" hidden="false" customHeight="false" outlineLevel="0" collapsed="false">
      <c r="A24" s="40" t="s">
        <v>182</v>
      </c>
      <c r="B24" s="40" t="s">
        <v>182</v>
      </c>
      <c r="C24" s="40" t="s">
        <v>118</v>
      </c>
      <c r="D24" s="41" t="n">
        <v>46213</v>
      </c>
      <c r="E24" s="40" t="s">
        <v>15</v>
      </c>
      <c r="F24" s="40" t="s">
        <v>38</v>
      </c>
      <c r="G24" s="42" t="s">
        <v>176</v>
      </c>
      <c r="H24" s="40" t="s">
        <v>139</v>
      </c>
      <c r="I24" s="40" t="s">
        <v>11</v>
      </c>
      <c r="J24" s="40" t="s">
        <v>11</v>
      </c>
      <c r="K24" s="40" t="s">
        <v>86</v>
      </c>
      <c r="L24" s="42" t="s">
        <v>134</v>
      </c>
      <c r="M24" s="43" t="n">
        <v>188.31</v>
      </c>
      <c r="N24" s="44" t="n">
        <v>0</v>
      </c>
      <c r="O24" s="45"/>
      <c r="P24" s="40" t="s">
        <v>179</v>
      </c>
      <c r="Q24" s="40" t="s">
        <v>141</v>
      </c>
      <c r="R24" s="42" t="s">
        <v>137</v>
      </c>
      <c r="S24" s="40" t="n">
        <v>0</v>
      </c>
      <c r="T24" s="40" t="n">
        <v>0</v>
      </c>
      <c r="U24" s="0" t="n">
        <f aca="false">IF(AND(OR('Daily Profitability'!$E$3="All",ISNUMBER(SEARCH('Daily Profitability'!$E$3,F24))),OR('Daily Profitability'!$H$3="All",I24='Daily Profitability'!$H$3),OR('Daily Profitability'!$K$3="All",J24='Daily Profitability'!$K$3),OR('Daily Profitability'!$N$3="All",K24='Daily Profitability'!$N$3)),1,0)</f>
        <v>1</v>
      </c>
    </row>
    <row r="25" customFormat="false" ht="23.85" hidden="false" customHeight="false" outlineLevel="0" collapsed="false">
      <c r="A25" s="40" t="s">
        <v>183</v>
      </c>
      <c r="B25" s="40" t="s">
        <v>183</v>
      </c>
      <c r="C25" s="40" t="s">
        <v>118</v>
      </c>
      <c r="D25" s="41" t="n">
        <v>46213</v>
      </c>
      <c r="E25" s="40" t="s">
        <v>15</v>
      </c>
      <c r="F25" s="40" t="s">
        <v>38</v>
      </c>
      <c r="G25" s="42" t="s">
        <v>176</v>
      </c>
      <c r="H25" s="40" t="s">
        <v>139</v>
      </c>
      <c r="I25" s="40" t="s">
        <v>11</v>
      </c>
      <c r="J25" s="40" t="s">
        <v>11</v>
      </c>
      <c r="K25" s="40" t="s">
        <v>78</v>
      </c>
      <c r="L25" s="42" t="s">
        <v>184</v>
      </c>
      <c r="M25" s="43" t="n">
        <v>232.07</v>
      </c>
      <c r="N25" s="44" t="n">
        <v>0</v>
      </c>
      <c r="O25" s="45"/>
      <c r="P25" s="40" t="s">
        <v>179</v>
      </c>
      <c r="Q25" s="40" t="s">
        <v>185</v>
      </c>
      <c r="R25" s="42" t="s">
        <v>137</v>
      </c>
      <c r="S25" s="40" t="n">
        <v>0</v>
      </c>
      <c r="T25" s="40" t="n">
        <v>0</v>
      </c>
      <c r="U25" s="0" t="n">
        <f aca="false">IF(AND(OR('Daily Profitability'!$E$3="All",ISNUMBER(SEARCH('Daily Profitability'!$E$3,F25))),OR('Daily Profitability'!$H$3="All",I25='Daily Profitability'!$H$3),OR('Daily Profitability'!$K$3="All",J25='Daily Profitability'!$K$3),OR('Daily Profitability'!$N$3="All",K25='Daily Profitability'!$N$3)),1,0)</f>
        <v>1</v>
      </c>
    </row>
    <row r="26" customFormat="false" ht="15" hidden="false" customHeight="false" outlineLevel="0" collapsed="false">
      <c r="A26" s="40" t="s">
        <v>186</v>
      </c>
      <c r="B26" s="40" t="s">
        <v>186</v>
      </c>
      <c r="C26" s="40" t="s">
        <v>118</v>
      </c>
      <c r="D26" s="41" t="n">
        <v>46213</v>
      </c>
      <c r="E26" s="40" t="s">
        <v>15</v>
      </c>
      <c r="F26" s="40" t="s">
        <v>38</v>
      </c>
      <c r="G26" s="42" t="s">
        <v>176</v>
      </c>
      <c r="H26" s="40" t="s">
        <v>139</v>
      </c>
      <c r="I26" s="40" t="s">
        <v>11</v>
      </c>
      <c r="J26" s="40" t="s">
        <v>11</v>
      </c>
      <c r="K26" s="40" t="s">
        <v>75</v>
      </c>
      <c r="L26" s="42" t="s">
        <v>187</v>
      </c>
      <c r="M26" s="43" t="n">
        <v>54.47</v>
      </c>
      <c r="N26" s="44" t="n">
        <v>0</v>
      </c>
      <c r="O26" s="45"/>
      <c r="P26" s="40" t="s">
        <v>179</v>
      </c>
      <c r="Q26" s="40" t="s">
        <v>147</v>
      </c>
      <c r="R26" s="42" t="s">
        <v>137</v>
      </c>
      <c r="S26" s="40" t="n">
        <v>0</v>
      </c>
      <c r="T26" s="40" t="n">
        <v>0</v>
      </c>
      <c r="U26" s="0" t="n">
        <f aca="false">IF(AND(OR('Daily Profitability'!$E$3="All",ISNUMBER(SEARCH('Daily Profitability'!$E$3,F26))),OR('Daily Profitability'!$H$3="All",I26='Daily Profitability'!$H$3),OR('Daily Profitability'!$K$3="All",J26='Daily Profitability'!$K$3),OR('Daily Profitability'!$N$3="All",K26='Daily Profitability'!$N$3)),1,0)</f>
        <v>1</v>
      </c>
    </row>
    <row r="27" customFormat="false" ht="15" hidden="false" customHeight="false" outlineLevel="0" collapsed="false">
      <c r="A27" s="40" t="s">
        <v>188</v>
      </c>
      <c r="B27" s="40" t="s">
        <v>188</v>
      </c>
      <c r="C27" s="40" t="s">
        <v>126</v>
      </c>
      <c r="D27" s="41" t="n">
        <v>46213</v>
      </c>
      <c r="E27" s="40" t="s">
        <v>15</v>
      </c>
      <c r="F27" s="40" t="s">
        <v>38</v>
      </c>
      <c r="G27" s="42" t="s">
        <v>176</v>
      </c>
      <c r="H27" s="40" t="s">
        <v>121</v>
      </c>
      <c r="I27" s="40" t="s">
        <v>55</v>
      </c>
      <c r="J27" s="40" t="s">
        <v>29</v>
      </c>
      <c r="K27" s="40" t="s">
        <v>79</v>
      </c>
      <c r="L27" s="42" t="s">
        <v>189</v>
      </c>
      <c r="M27" s="43" t="n">
        <v>8.98</v>
      </c>
      <c r="N27" s="44" t="n">
        <v>0</v>
      </c>
      <c r="O27" s="45"/>
      <c r="P27" s="40" t="s">
        <v>179</v>
      </c>
      <c r="Q27" s="40" t="s">
        <v>153</v>
      </c>
      <c r="R27" s="42" t="s">
        <v>137</v>
      </c>
      <c r="S27" s="40" t="n">
        <v>0</v>
      </c>
      <c r="T27" s="40" t="n">
        <v>0</v>
      </c>
      <c r="U27" s="0" t="n">
        <f aca="false">IF(AND(OR('Daily Profitability'!$E$3="All",ISNUMBER(SEARCH('Daily Profitability'!$E$3,F27))),OR('Daily Profitability'!$H$3="All",I27='Daily Profitability'!$H$3),OR('Daily Profitability'!$K$3="All",J27='Daily Profitability'!$K$3),OR('Daily Profitability'!$N$3="All",K27='Daily Profitability'!$N$3)),1,0)</f>
        <v>0</v>
      </c>
    </row>
    <row r="28" customFormat="false" ht="15" hidden="false" customHeight="false" outlineLevel="0" collapsed="false">
      <c r="A28" s="40" t="s">
        <v>190</v>
      </c>
      <c r="B28" s="40" t="s">
        <v>190</v>
      </c>
      <c r="C28" s="40" t="s">
        <v>118</v>
      </c>
      <c r="D28" s="41" t="n">
        <v>46213</v>
      </c>
      <c r="E28" s="40" t="s">
        <v>15</v>
      </c>
      <c r="F28" s="40" t="s">
        <v>38</v>
      </c>
      <c r="G28" s="42" t="s">
        <v>176</v>
      </c>
      <c r="H28" s="40" t="s">
        <v>121</v>
      </c>
      <c r="I28" s="40" t="s">
        <v>55</v>
      </c>
      <c r="J28" s="40" t="s">
        <v>29</v>
      </c>
      <c r="K28" s="40" t="s">
        <v>62</v>
      </c>
      <c r="L28" s="42" t="s">
        <v>191</v>
      </c>
      <c r="M28" s="43" t="n">
        <v>40.99</v>
      </c>
      <c r="N28" s="44" t="n">
        <v>0</v>
      </c>
      <c r="O28" s="45"/>
      <c r="P28" s="40" t="s">
        <v>179</v>
      </c>
      <c r="Q28" s="40" t="s">
        <v>192</v>
      </c>
      <c r="R28" s="42" t="s">
        <v>137</v>
      </c>
      <c r="S28" s="40" t="n">
        <v>0</v>
      </c>
      <c r="T28" s="40" t="n">
        <v>0</v>
      </c>
      <c r="U28" s="0" t="n">
        <f aca="false">IF(AND(OR('Daily Profitability'!$E$3="All",ISNUMBER(SEARCH('Daily Profitability'!$E$3,F28))),OR('Daily Profitability'!$H$3="All",I28='Daily Profitability'!$H$3),OR('Daily Profitability'!$K$3="All",J28='Daily Profitability'!$K$3),OR('Daily Profitability'!$N$3="All",K28='Daily Profitability'!$N$3)),1,0)</f>
        <v>0</v>
      </c>
    </row>
    <row r="29" customFormat="false" ht="15" hidden="false" customHeight="false" outlineLevel="0" collapsed="false">
      <c r="A29" s="40" t="s">
        <v>193</v>
      </c>
      <c r="B29" s="40" t="s">
        <v>193</v>
      </c>
      <c r="C29" s="40" t="s">
        <v>126</v>
      </c>
      <c r="D29" s="41" t="n">
        <v>46213</v>
      </c>
      <c r="E29" s="40" t="s">
        <v>15</v>
      </c>
      <c r="F29" s="40" t="s">
        <v>38</v>
      </c>
      <c r="G29" s="42" t="s">
        <v>176</v>
      </c>
      <c r="H29" s="40" t="s">
        <v>127</v>
      </c>
      <c r="I29" s="40" t="s">
        <v>52</v>
      </c>
      <c r="J29" s="40" t="s">
        <v>43</v>
      </c>
      <c r="K29" s="40" t="s">
        <v>43</v>
      </c>
      <c r="L29" s="42" t="s">
        <v>134</v>
      </c>
      <c r="M29" s="43" t="n">
        <v>50</v>
      </c>
      <c r="N29" s="44" t="n">
        <v>0</v>
      </c>
      <c r="O29" s="45"/>
      <c r="P29" s="40" t="s">
        <v>179</v>
      </c>
      <c r="Q29" s="40" t="s">
        <v>194</v>
      </c>
      <c r="R29" s="42" t="s">
        <v>195</v>
      </c>
      <c r="S29" s="40" t="n">
        <v>0</v>
      </c>
      <c r="T29" s="40" t="n">
        <v>0</v>
      </c>
      <c r="U29" s="0" t="n">
        <f aca="false">IF(AND(OR('Daily Profitability'!$E$3="All",ISNUMBER(SEARCH('Daily Profitability'!$E$3,F29))),OR('Daily Profitability'!$H$3="All",I29='Daily Profitability'!$H$3),OR('Daily Profitability'!$K$3="All",J29='Daily Profitability'!$K$3),OR('Daily Profitability'!$N$3="All",K29='Daily Profitability'!$N$3)),1,0)</f>
        <v>0</v>
      </c>
    </row>
    <row r="30" customFormat="false" ht="15" hidden="false" customHeight="false" outlineLevel="0" collapsed="false">
      <c r="A30" s="40" t="s">
        <v>196</v>
      </c>
      <c r="B30" s="40" t="s">
        <v>196</v>
      </c>
      <c r="C30" s="40" t="s">
        <v>118</v>
      </c>
      <c r="D30" s="41" t="n">
        <v>46213</v>
      </c>
      <c r="E30" s="40" t="s">
        <v>15</v>
      </c>
      <c r="F30" s="40" t="s">
        <v>38</v>
      </c>
      <c r="G30" s="42" t="s">
        <v>176</v>
      </c>
      <c r="H30" s="40" t="s">
        <v>127</v>
      </c>
      <c r="I30" s="40" t="s">
        <v>52</v>
      </c>
      <c r="J30" s="40" t="s">
        <v>43</v>
      </c>
      <c r="K30" s="40" t="s">
        <v>43</v>
      </c>
      <c r="L30" s="42" t="s">
        <v>134</v>
      </c>
      <c r="M30" s="43" t="n">
        <v>50</v>
      </c>
      <c r="N30" s="44" t="n">
        <v>0</v>
      </c>
      <c r="O30" s="45"/>
      <c r="P30" s="40" t="s">
        <v>179</v>
      </c>
      <c r="Q30" s="40" t="s">
        <v>197</v>
      </c>
      <c r="R30" s="42" t="s">
        <v>195</v>
      </c>
      <c r="S30" s="40" t="n">
        <v>0</v>
      </c>
      <c r="T30" s="40" t="n">
        <v>0</v>
      </c>
      <c r="U30" s="0" t="n">
        <f aca="false">IF(AND(OR('Daily Profitability'!$E$3="All",ISNUMBER(SEARCH('Daily Profitability'!$E$3,F30))),OR('Daily Profitability'!$H$3="All",I30='Daily Profitability'!$H$3),OR('Daily Profitability'!$K$3="All",J30='Daily Profitability'!$K$3),OR('Daily Profitability'!$N$3="All",K30='Daily Profitability'!$N$3)),1,0)</f>
        <v>0</v>
      </c>
    </row>
    <row r="31" customFormat="false" ht="15" hidden="false" customHeight="false" outlineLevel="0" collapsed="false">
      <c r="A31" s="40" t="s">
        <v>198</v>
      </c>
      <c r="B31" s="40" t="s">
        <v>198</v>
      </c>
      <c r="C31" s="40" t="s">
        <v>126</v>
      </c>
      <c r="D31" s="41" t="n">
        <v>46213</v>
      </c>
      <c r="E31" s="40" t="s">
        <v>15</v>
      </c>
      <c r="F31" s="40" t="s">
        <v>38</v>
      </c>
      <c r="G31" s="42" t="s">
        <v>176</v>
      </c>
      <c r="H31" s="40" t="s">
        <v>139</v>
      </c>
      <c r="I31" s="40" t="s">
        <v>11</v>
      </c>
      <c r="J31" s="40" t="s">
        <v>11</v>
      </c>
      <c r="K31" s="40" t="s">
        <v>82</v>
      </c>
      <c r="L31" s="42" t="s">
        <v>199</v>
      </c>
      <c r="M31" s="43" t="n">
        <v>20.22</v>
      </c>
      <c r="N31" s="44" t="n">
        <v>0</v>
      </c>
      <c r="O31" s="45"/>
      <c r="P31" s="40" t="s">
        <v>179</v>
      </c>
      <c r="Q31" s="40" t="s">
        <v>200</v>
      </c>
      <c r="R31" s="42" t="s">
        <v>137</v>
      </c>
      <c r="S31" s="40" t="n">
        <v>0</v>
      </c>
      <c r="T31" s="40" t="n">
        <v>0</v>
      </c>
      <c r="U31" s="0" t="n">
        <f aca="false">IF(AND(OR('Daily Profitability'!$E$3="All",ISNUMBER(SEARCH('Daily Profitability'!$E$3,F31))),OR('Daily Profitability'!$H$3="All",I31='Daily Profitability'!$H$3),OR('Daily Profitability'!$K$3="All",J31='Daily Profitability'!$K$3),OR('Daily Profitability'!$N$3="All",K31='Daily Profitability'!$N$3)),1,0)</f>
        <v>1</v>
      </c>
    </row>
    <row r="32" customFormat="false" ht="23.85" hidden="false" customHeight="false" outlineLevel="0" collapsed="false">
      <c r="A32" s="40" t="s">
        <v>201</v>
      </c>
      <c r="B32" s="40" t="s">
        <v>201</v>
      </c>
      <c r="C32" s="40" t="s">
        <v>118</v>
      </c>
      <c r="D32" s="41" t="n">
        <v>46213</v>
      </c>
      <c r="E32" s="40" t="s">
        <v>15</v>
      </c>
      <c r="F32" s="40" t="s">
        <v>38</v>
      </c>
      <c r="G32" s="42" t="s">
        <v>176</v>
      </c>
      <c r="H32" s="40" t="s">
        <v>202</v>
      </c>
      <c r="I32" s="40" t="s">
        <v>28</v>
      </c>
      <c r="J32" s="40" t="s">
        <v>58</v>
      </c>
      <c r="K32" s="40" t="s">
        <v>83</v>
      </c>
      <c r="L32" s="42" t="s">
        <v>203</v>
      </c>
      <c r="M32" s="43" t="n">
        <v>50</v>
      </c>
      <c r="N32" s="44" t="n">
        <v>0</v>
      </c>
      <c r="O32" s="45"/>
      <c r="P32" s="40" t="s">
        <v>179</v>
      </c>
      <c r="Q32" s="40" t="s">
        <v>204</v>
      </c>
      <c r="R32" s="42" t="s">
        <v>137</v>
      </c>
      <c r="S32" s="40" t="n">
        <v>0</v>
      </c>
      <c r="T32" s="40" t="n">
        <v>0</v>
      </c>
      <c r="U32" s="0" t="n">
        <f aca="false">IF(AND(OR('Daily Profitability'!$E$3="All",ISNUMBER(SEARCH('Daily Profitability'!$E$3,F32))),OR('Daily Profitability'!$H$3="All",I32='Daily Profitability'!$H$3),OR('Daily Profitability'!$K$3="All",J32='Daily Profitability'!$K$3),OR('Daily Profitability'!$N$3="All",K32='Daily Profitability'!$N$3)),1,0)</f>
        <v>0</v>
      </c>
    </row>
    <row r="33" customFormat="false" ht="15" hidden="false" customHeight="false" outlineLevel="0" collapsed="false">
      <c r="A33" s="40" t="s">
        <v>205</v>
      </c>
      <c r="B33" s="40" t="s">
        <v>205</v>
      </c>
      <c r="C33" s="40" t="s">
        <v>118</v>
      </c>
      <c r="D33" s="41" t="n">
        <v>46214</v>
      </c>
      <c r="E33" s="40" t="s">
        <v>15</v>
      </c>
      <c r="F33" s="40" t="s">
        <v>38</v>
      </c>
      <c r="G33" s="42" t="s">
        <v>176</v>
      </c>
      <c r="H33" s="40" t="s">
        <v>139</v>
      </c>
      <c r="I33" s="40" t="s">
        <v>11</v>
      </c>
      <c r="J33" s="40" t="s">
        <v>11</v>
      </c>
      <c r="K33" s="40" t="s">
        <v>88</v>
      </c>
      <c r="L33" s="42" t="s">
        <v>206</v>
      </c>
      <c r="M33" s="43" t="n">
        <v>32.36</v>
      </c>
      <c r="N33" s="44" t="n">
        <v>0</v>
      </c>
      <c r="O33" s="45"/>
      <c r="P33" s="40" t="s">
        <v>207</v>
      </c>
      <c r="Q33" s="40" t="s">
        <v>208</v>
      </c>
      <c r="R33" s="42" t="s">
        <v>137</v>
      </c>
      <c r="S33" s="40" t="n">
        <v>0</v>
      </c>
      <c r="T33" s="40" t="n">
        <v>0</v>
      </c>
      <c r="U33" s="0" t="n">
        <f aca="false">IF(AND(OR('Daily Profitability'!$E$3="All",ISNUMBER(SEARCH('Daily Profitability'!$E$3,F33))),OR('Daily Profitability'!$H$3="All",I33='Daily Profitability'!$H$3),OR('Daily Profitability'!$K$3="All",J33='Daily Profitability'!$K$3),OR('Daily Profitability'!$N$3="All",K33='Daily Profitability'!$N$3)),1,0)</f>
        <v>1</v>
      </c>
    </row>
    <row r="34" customFormat="false" ht="15" hidden="false" customHeight="false" outlineLevel="0" collapsed="false">
      <c r="A34" s="40" t="s">
        <v>209</v>
      </c>
      <c r="B34" s="40" t="s">
        <v>209</v>
      </c>
      <c r="C34" s="40" t="s">
        <v>118</v>
      </c>
      <c r="D34" s="41" t="n">
        <v>46214</v>
      </c>
      <c r="E34" s="40" t="s">
        <v>15</v>
      </c>
      <c r="F34" s="40" t="s">
        <v>38</v>
      </c>
      <c r="G34" s="42" t="s">
        <v>176</v>
      </c>
      <c r="H34" s="40" t="s">
        <v>139</v>
      </c>
      <c r="I34" s="40" t="s">
        <v>11</v>
      </c>
      <c r="J34" s="40" t="s">
        <v>11</v>
      </c>
      <c r="K34" s="40" t="s">
        <v>78</v>
      </c>
      <c r="L34" s="42" t="s">
        <v>210</v>
      </c>
      <c r="M34" s="43" t="n">
        <v>21.32</v>
      </c>
      <c r="N34" s="44" t="n">
        <v>0</v>
      </c>
      <c r="O34" s="45"/>
      <c r="P34" s="40" t="s">
        <v>207</v>
      </c>
      <c r="Q34" s="40" t="s">
        <v>211</v>
      </c>
      <c r="R34" s="42" t="s">
        <v>137</v>
      </c>
      <c r="S34" s="40" t="n">
        <v>0</v>
      </c>
      <c r="T34" s="40" t="n">
        <v>0</v>
      </c>
      <c r="U34" s="0" t="n">
        <f aca="false">IF(AND(OR('Daily Profitability'!$E$3="All",ISNUMBER(SEARCH('Daily Profitability'!$E$3,F34))),OR('Daily Profitability'!$H$3="All",I34='Daily Profitability'!$H$3),OR('Daily Profitability'!$K$3="All",J34='Daily Profitability'!$K$3),OR('Daily Profitability'!$N$3="All",K34='Daily Profitability'!$N$3)),1,0)</f>
        <v>1</v>
      </c>
    </row>
    <row r="35" customFormat="false" ht="15" hidden="false" customHeight="false" outlineLevel="0" collapsed="false">
      <c r="A35" s="40" t="s">
        <v>212</v>
      </c>
      <c r="B35" s="40" t="s">
        <v>212</v>
      </c>
      <c r="C35" s="40" t="s">
        <v>118</v>
      </c>
      <c r="D35" s="41" t="n">
        <v>46214</v>
      </c>
      <c r="E35" s="40" t="s">
        <v>15</v>
      </c>
      <c r="F35" s="40" t="s">
        <v>38</v>
      </c>
      <c r="G35" s="42" t="s">
        <v>176</v>
      </c>
      <c r="H35" s="40" t="s">
        <v>139</v>
      </c>
      <c r="I35" s="40" t="s">
        <v>11</v>
      </c>
      <c r="J35" s="40" t="s">
        <v>11</v>
      </c>
      <c r="K35" s="40" t="s">
        <v>78</v>
      </c>
      <c r="L35" s="42" t="s">
        <v>213</v>
      </c>
      <c r="M35" s="43" t="n">
        <v>13.56</v>
      </c>
      <c r="N35" s="44" t="n">
        <v>0</v>
      </c>
      <c r="O35" s="45"/>
      <c r="P35" s="40" t="s">
        <v>207</v>
      </c>
      <c r="Q35" s="40" t="s">
        <v>214</v>
      </c>
      <c r="R35" s="42" t="s">
        <v>137</v>
      </c>
      <c r="S35" s="40" t="n">
        <v>0</v>
      </c>
      <c r="T35" s="40" t="n">
        <v>0</v>
      </c>
      <c r="U35" s="0" t="n">
        <f aca="false">IF(AND(OR('Daily Profitability'!$E$3="All",ISNUMBER(SEARCH('Daily Profitability'!$E$3,F35))),OR('Daily Profitability'!$H$3="All",I35='Daily Profitability'!$H$3),OR('Daily Profitability'!$K$3="All",J35='Daily Profitability'!$K$3),OR('Daily Profitability'!$N$3="All",K35='Daily Profitability'!$N$3)),1,0)</f>
        <v>1</v>
      </c>
    </row>
    <row r="36" customFormat="false" ht="15" hidden="false" customHeight="false" outlineLevel="0" collapsed="false">
      <c r="A36" s="40" t="s">
        <v>215</v>
      </c>
      <c r="B36" s="40" t="s">
        <v>215</v>
      </c>
      <c r="C36" s="40" t="s">
        <v>118</v>
      </c>
      <c r="D36" s="41" t="n">
        <v>46214</v>
      </c>
      <c r="E36" s="40" t="s">
        <v>15</v>
      </c>
      <c r="F36" s="40" t="s">
        <v>38</v>
      </c>
      <c r="G36" s="42" t="s">
        <v>176</v>
      </c>
      <c r="H36" s="40" t="s">
        <v>139</v>
      </c>
      <c r="I36" s="40" t="s">
        <v>11</v>
      </c>
      <c r="J36" s="40" t="s">
        <v>11</v>
      </c>
      <c r="K36" s="40" t="s">
        <v>75</v>
      </c>
      <c r="L36" s="42" t="s">
        <v>216</v>
      </c>
      <c r="M36" s="43" t="n">
        <v>0</v>
      </c>
      <c r="N36" s="44" t="n">
        <v>0</v>
      </c>
      <c r="O36" s="45"/>
      <c r="P36" s="40" t="s">
        <v>207</v>
      </c>
      <c r="Q36" s="40" t="s">
        <v>147</v>
      </c>
      <c r="R36" s="42" t="s">
        <v>217</v>
      </c>
      <c r="S36" s="40" t="n">
        <v>0</v>
      </c>
      <c r="T36" s="40" t="n">
        <v>0</v>
      </c>
      <c r="U36" s="0" t="n">
        <f aca="false">IF(AND(OR('Daily Profitability'!$E$3="All",ISNUMBER(SEARCH('Daily Profitability'!$E$3,F36))),OR('Daily Profitability'!$H$3="All",I36='Daily Profitability'!$H$3),OR('Daily Profitability'!$K$3="All",J36='Daily Profitability'!$K$3),OR('Daily Profitability'!$N$3="All",K36='Daily Profitability'!$N$3)),1,0)</f>
        <v>1</v>
      </c>
    </row>
    <row r="37" customFormat="false" ht="15" hidden="false" customHeight="false" outlineLevel="0" collapsed="false">
      <c r="A37" s="40" t="s">
        <v>218</v>
      </c>
      <c r="B37" s="40" t="s">
        <v>218</v>
      </c>
      <c r="C37" s="40" t="s">
        <v>118</v>
      </c>
      <c r="D37" s="41" t="n">
        <v>46214</v>
      </c>
      <c r="E37" s="40" t="s">
        <v>15</v>
      </c>
      <c r="F37" s="40" t="s">
        <v>38</v>
      </c>
      <c r="G37" s="42" t="s">
        <v>176</v>
      </c>
      <c r="H37" s="40" t="s">
        <v>139</v>
      </c>
      <c r="I37" s="40" t="s">
        <v>11</v>
      </c>
      <c r="J37" s="40" t="s">
        <v>11</v>
      </c>
      <c r="K37" s="40" t="s">
        <v>35</v>
      </c>
      <c r="L37" s="42" t="s">
        <v>219</v>
      </c>
      <c r="M37" s="43" t="n">
        <v>37</v>
      </c>
      <c r="N37" s="44" t="n">
        <v>0</v>
      </c>
      <c r="O37" s="45"/>
      <c r="P37" s="40" t="s">
        <v>207</v>
      </c>
      <c r="Q37" s="40" t="s">
        <v>220</v>
      </c>
      <c r="R37" s="42" t="s">
        <v>137</v>
      </c>
      <c r="S37" s="40" t="n">
        <v>0</v>
      </c>
      <c r="T37" s="40" t="n">
        <v>0</v>
      </c>
      <c r="U37" s="0" t="n">
        <f aca="false">IF(AND(OR('Daily Profitability'!$E$3="All",ISNUMBER(SEARCH('Daily Profitability'!$E$3,F37))),OR('Daily Profitability'!$H$3="All",I37='Daily Profitability'!$H$3),OR('Daily Profitability'!$K$3="All",J37='Daily Profitability'!$K$3),OR('Daily Profitability'!$N$3="All",K37='Daily Profitability'!$N$3)),1,0)</f>
        <v>1</v>
      </c>
    </row>
    <row r="38" customFormat="false" ht="23.85" hidden="false" customHeight="false" outlineLevel="0" collapsed="false">
      <c r="A38" s="40" t="s">
        <v>221</v>
      </c>
      <c r="B38" s="40" t="s">
        <v>221</v>
      </c>
      <c r="C38" s="40" t="s">
        <v>118</v>
      </c>
      <c r="D38" s="41" t="n">
        <v>46214</v>
      </c>
      <c r="E38" s="40" t="s">
        <v>15</v>
      </c>
      <c r="F38" s="40" t="s">
        <v>38</v>
      </c>
      <c r="G38" s="42" t="s">
        <v>176</v>
      </c>
      <c r="H38" s="40" t="s">
        <v>139</v>
      </c>
      <c r="I38" s="40" t="s">
        <v>11</v>
      </c>
      <c r="J38" s="40" t="s">
        <v>11</v>
      </c>
      <c r="K38" s="40" t="s">
        <v>78</v>
      </c>
      <c r="L38" s="42" t="s">
        <v>222</v>
      </c>
      <c r="M38" s="43" t="n">
        <v>68.84</v>
      </c>
      <c r="N38" s="44" t="n">
        <v>0</v>
      </c>
      <c r="O38" s="45"/>
      <c r="P38" s="40" t="s">
        <v>207</v>
      </c>
      <c r="Q38" s="40" t="s">
        <v>223</v>
      </c>
      <c r="R38" s="42" t="s">
        <v>137</v>
      </c>
      <c r="S38" s="40" t="n">
        <v>0</v>
      </c>
      <c r="T38" s="40" t="n">
        <v>0</v>
      </c>
      <c r="U38" s="0" t="n">
        <f aca="false">IF(AND(OR('Daily Profitability'!$E$3="All",ISNUMBER(SEARCH('Daily Profitability'!$E$3,F38))),OR('Daily Profitability'!$H$3="All",I38='Daily Profitability'!$H$3),OR('Daily Profitability'!$K$3="All",J38='Daily Profitability'!$K$3),OR('Daily Profitability'!$N$3="All",K38='Daily Profitability'!$N$3)),1,0)</f>
        <v>1</v>
      </c>
    </row>
    <row r="39" customFormat="false" ht="15" hidden="false" customHeight="false" outlineLevel="0" collapsed="false">
      <c r="A39" s="40" t="s">
        <v>224</v>
      </c>
      <c r="B39" s="40" t="s">
        <v>224</v>
      </c>
      <c r="C39" s="40" t="s">
        <v>126</v>
      </c>
      <c r="D39" s="41" t="n">
        <v>46214</v>
      </c>
      <c r="E39" s="40" t="s">
        <v>15</v>
      </c>
      <c r="F39" s="40" t="s">
        <v>38</v>
      </c>
      <c r="G39" s="42" t="s">
        <v>176</v>
      </c>
      <c r="H39" s="40" t="s">
        <v>139</v>
      </c>
      <c r="I39" s="40" t="s">
        <v>11</v>
      </c>
      <c r="J39" s="40" t="s">
        <v>11</v>
      </c>
      <c r="K39" s="40" t="s">
        <v>80</v>
      </c>
      <c r="L39" s="42" t="s">
        <v>225</v>
      </c>
      <c r="M39" s="43" t="n">
        <v>9.17</v>
      </c>
      <c r="N39" s="44" t="n">
        <v>0</v>
      </c>
      <c r="O39" s="45"/>
      <c r="P39" s="40" t="s">
        <v>207</v>
      </c>
      <c r="Q39" s="40" t="s">
        <v>226</v>
      </c>
      <c r="R39" s="42" t="s">
        <v>137</v>
      </c>
      <c r="S39" s="40" t="n">
        <v>0</v>
      </c>
      <c r="T39" s="40" t="n">
        <v>0</v>
      </c>
      <c r="U39" s="0" t="n">
        <f aca="false">IF(AND(OR('Daily Profitability'!$E$3="All",ISNUMBER(SEARCH('Daily Profitability'!$E$3,F39))),OR('Daily Profitability'!$H$3="All",I39='Daily Profitability'!$H$3),OR('Daily Profitability'!$K$3="All",J39='Daily Profitability'!$K$3),OR('Daily Profitability'!$N$3="All",K39='Daily Profitability'!$N$3)),1,0)</f>
        <v>1</v>
      </c>
    </row>
    <row r="40" customFormat="false" ht="15" hidden="false" customHeight="false" outlineLevel="0" collapsed="false">
      <c r="A40" s="40" t="s">
        <v>227</v>
      </c>
      <c r="B40" s="40" t="s">
        <v>227</v>
      </c>
      <c r="C40" s="40" t="s">
        <v>126</v>
      </c>
      <c r="D40" s="41" t="n">
        <v>46214</v>
      </c>
      <c r="E40" s="40" t="s">
        <v>15</v>
      </c>
      <c r="F40" s="40" t="s">
        <v>38</v>
      </c>
      <c r="G40" s="42" t="s">
        <v>176</v>
      </c>
      <c r="H40" s="40" t="s">
        <v>228</v>
      </c>
      <c r="I40" s="40" t="s">
        <v>39</v>
      </c>
      <c r="J40" s="40" t="s">
        <v>40</v>
      </c>
      <c r="K40" s="40" t="s">
        <v>92</v>
      </c>
      <c r="L40" s="42" t="s">
        <v>229</v>
      </c>
      <c r="M40" s="43" t="n">
        <v>120</v>
      </c>
      <c r="N40" s="44" t="n">
        <v>0</v>
      </c>
      <c r="O40" s="45"/>
      <c r="P40" s="40" t="s">
        <v>207</v>
      </c>
      <c r="Q40" s="40" t="s">
        <v>230</v>
      </c>
      <c r="R40" s="42" t="s">
        <v>137</v>
      </c>
      <c r="S40" s="40" t="n">
        <v>0</v>
      </c>
      <c r="T40" s="40" t="n">
        <v>0</v>
      </c>
      <c r="U40" s="0" t="n">
        <f aca="false">IF(AND(OR('Daily Profitability'!$E$3="All",ISNUMBER(SEARCH('Daily Profitability'!$E$3,F40))),OR('Daily Profitability'!$H$3="All",I40='Daily Profitability'!$H$3),OR('Daily Profitability'!$K$3="All",J40='Daily Profitability'!$K$3),OR('Daily Profitability'!$N$3="All",K40='Daily Profitability'!$N$3)),1,0)</f>
        <v>0</v>
      </c>
    </row>
    <row r="41" customFormat="false" ht="15" hidden="false" customHeight="false" outlineLevel="0" collapsed="false">
      <c r="A41" s="40" t="s">
        <v>231</v>
      </c>
      <c r="B41" s="40" t="s">
        <v>231</v>
      </c>
      <c r="C41" s="40" t="s">
        <v>126</v>
      </c>
      <c r="D41" s="41" t="n">
        <v>46215</v>
      </c>
      <c r="E41" s="40" t="s">
        <v>15</v>
      </c>
      <c r="F41" s="40" t="s">
        <v>38</v>
      </c>
      <c r="G41" s="42" t="s">
        <v>176</v>
      </c>
      <c r="H41" s="40" t="s">
        <v>139</v>
      </c>
      <c r="I41" s="40" t="s">
        <v>11</v>
      </c>
      <c r="J41" s="40" t="s">
        <v>11</v>
      </c>
      <c r="K41" s="40" t="s">
        <v>35</v>
      </c>
      <c r="L41" s="42" t="s">
        <v>232</v>
      </c>
      <c r="M41" s="43" t="n">
        <v>20</v>
      </c>
      <c r="N41" s="44" t="n">
        <v>0</v>
      </c>
      <c r="O41" s="45"/>
      <c r="P41" s="40" t="s">
        <v>233</v>
      </c>
      <c r="Q41" s="40" t="s">
        <v>169</v>
      </c>
      <c r="R41" s="42" t="s">
        <v>137</v>
      </c>
      <c r="S41" s="40" t="n">
        <v>0</v>
      </c>
      <c r="T41" s="40" t="n">
        <v>0</v>
      </c>
      <c r="U41" s="0" t="n">
        <f aca="false">IF(AND(OR('Daily Profitability'!$E$3="All",ISNUMBER(SEARCH('Daily Profitability'!$E$3,F41))),OR('Daily Profitability'!$H$3="All",I41='Daily Profitability'!$H$3),OR('Daily Profitability'!$K$3="All",J41='Daily Profitability'!$K$3),OR('Daily Profitability'!$N$3="All",K41='Daily Profitability'!$N$3)),1,0)</f>
        <v>1</v>
      </c>
    </row>
    <row r="42" customFormat="false" ht="15" hidden="false" customHeight="false" outlineLevel="0" collapsed="false">
      <c r="A42" s="40" t="s">
        <v>234</v>
      </c>
      <c r="B42" s="40" t="s">
        <v>234</v>
      </c>
      <c r="C42" s="40" t="s">
        <v>118</v>
      </c>
      <c r="D42" s="41" t="n">
        <v>46215</v>
      </c>
      <c r="E42" s="40" t="s">
        <v>15</v>
      </c>
      <c r="F42" s="40" t="s">
        <v>38</v>
      </c>
      <c r="G42" s="42" t="s">
        <v>176</v>
      </c>
      <c r="H42" s="40" t="s">
        <v>139</v>
      </c>
      <c r="I42" s="40" t="s">
        <v>11</v>
      </c>
      <c r="J42" s="40" t="s">
        <v>11</v>
      </c>
      <c r="K42" s="40" t="s">
        <v>89</v>
      </c>
      <c r="L42" s="42" t="s">
        <v>235</v>
      </c>
      <c r="M42" s="43" t="n">
        <v>10</v>
      </c>
      <c r="N42" s="44" t="n">
        <v>0</v>
      </c>
      <c r="O42" s="45"/>
      <c r="P42" s="40" t="s">
        <v>233</v>
      </c>
      <c r="Q42" s="40" t="s">
        <v>136</v>
      </c>
      <c r="R42" s="42" t="s">
        <v>137</v>
      </c>
      <c r="S42" s="40" t="n">
        <v>0</v>
      </c>
      <c r="T42" s="40" t="n">
        <v>0</v>
      </c>
      <c r="U42" s="0" t="n">
        <f aca="false">IF(AND(OR('Daily Profitability'!$E$3="All",ISNUMBER(SEARCH('Daily Profitability'!$E$3,F42))),OR('Daily Profitability'!$H$3="All",I42='Daily Profitability'!$H$3),OR('Daily Profitability'!$K$3="All",J42='Daily Profitability'!$K$3),OR('Daily Profitability'!$N$3="All",K42='Daily Profitability'!$N$3)),1,0)</f>
        <v>1</v>
      </c>
    </row>
    <row r="43" customFormat="false" ht="15" hidden="false" customHeight="false" outlineLevel="0" collapsed="false">
      <c r="A43" s="40" t="s">
        <v>236</v>
      </c>
      <c r="B43" s="40" t="s">
        <v>236</v>
      </c>
      <c r="C43" s="40" t="s">
        <v>118</v>
      </c>
      <c r="D43" s="41" t="n">
        <v>46215</v>
      </c>
      <c r="E43" s="40" t="s">
        <v>15</v>
      </c>
      <c r="F43" s="40" t="s">
        <v>38</v>
      </c>
      <c r="G43" s="42" t="s">
        <v>176</v>
      </c>
      <c r="H43" s="40" t="s">
        <v>139</v>
      </c>
      <c r="I43" s="40" t="s">
        <v>11</v>
      </c>
      <c r="J43" s="40" t="s">
        <v>11</v>
      </c>
      <c r="K43" s="40" t="s">
        <v>88</v>
      </c>
      <c r="L43" s="42" t="s">
        <v>237</v>
      </c>
      <c r="M43" s="43" t="n">
        <v>22.49</v>
      </c>
      <c r="N43" s="44" t="n">
        <v>0</v>
      </c>
      <c r="O43" s="45"/>
      <c r="P43" s="40" t="s">
        <v>233</v>
      </c>
      <c r="Q43" s="40" t="s">
        <v>171</v>
      </c>
      <c r="R43" s="42" t="s">
        <v>137</v>
      </c>
      <c r="S43" s="40" t="n">
        <v>0</v>
      </c>
      <c r="T43" s="40" t="n">
        <v>0</v>
      </c>
      <c r="U43" s="0" t="n">
        <f aca="false">IF(AND(OR('Daily Profitability'!$E$3="All",ISNUMBER(SEARCH('Daily Profitability'!$E$3,F43))),OR('Daily Profitability'!$H$3="All",I43='Daily Profitability'!$H$3),OR('Daily Profitability'!$K$3="All",J43='Daily Profitability'!$K$3),OR('Daily Profitability'!$N$3="All",K43='Daily Profitability'!$N$3)),1,0)</f>
        <v>1</v>
      </c>
    </row>
    <row r="44" customFormat="false" ht="23.85" hidden="false" customHeight="false" outlineLevel="0" collapsed="false">
      <c r="A44" s="40" t="s">
        <v>238</v>
      </c>
      <c r="B44" s="40" t="s">
        <v>238</v>
      </c>
      <c r="C44" s="40" t="s">
        <v>118</v>
      </c>
      <c r="D44" s="41" t="n">
        <v>46215</v>
      </c>
      <c r="E44" s="40" t="s">
        <v>15</v>
      </c>
      <c r="F44" s="40" t="s">
        <v>38</v>
      </c>
      <c r="G44" s="42" t="s">
        <v>176</v>
      </c>
      <c r="H44" s="40" t="s">
        <v>139</v>
      </c>
      <c r="I44" s="40" t="s">
        <v>11</v>
      </c>
      <c r="J44" s="40" t="s">
        <v>11</v>
      </c>
      <c r="K44" s="40" t="s">
        <v>78</v>
      </c>
      <c r="L44" s="42" t="s">
        <v>239</v>
      </c>
      <c r="M44" s="43" t="n">
        <v>84.0764044954</v>
      </c>
      <c r="N44" s="44" t="n">
        <v>7482800</v>
      </c>
      <c r="O44" s="45" t="n">
        <v>88999.9999989224</v>
      </c>
      <c r="P44" s="40" t="s">
        <v>233</v>
      </c>
      <c r="Q44" s="40" t="s">
        <v>240</v>
      </c>
      <c r="R44" s="42" t="s">
        <v>137</v>
      </c>
      <c r="S44" s="40" t="n">
        <v>0</v>
      </c>
      <c r="T44" s="40" t="n">
        <v>0</v>
      </c>
      <c r="U44" s="0" t="n">
        <f aca="false">IF(AND(OR('Daily Profitability'!$E$3="All",ISNUMBER(SEARCH('Daily Profitability'!$E$3,F44))),OR('Daily Profitability'!$H$3="All",I44='Daily Profitability'!$H$3),OR('Daily Profitability'!$K$3="All",J44='Daily Profitability'!$K$3),OR('Daily Profitability'!$N$3="All",K44='Daily Profitability'!$N$3)),1,0)</f>
        <v>1</v>
      </c>
    </row>
    <row r="45" customFormat="false" ht="15" hidden="false" customHeight="false" outlineLevel="0" collapsed="false">
      <c r="A45" s="40" t="s">
        <v>241</v>
      </c>
      <c r="B45" s="40" t="s">
        <v>241</v>
      </c>
      <c r="C45" s="40" t="s">
        <v>118</v>
      </c>
      <c r="D45" s="41" t="n">
        <v>46215</v>
      </c>
      <c r="E45" s="40" t="s">
        <v>15</v>
      </c>
      <c r="F45" s="40" t="s">
        <v>38</v>
      </c>
      <c r="G45" s="42" t="s">
        <v>176</v>
      </c>
      <c r="H45" s="40" t="s">
        <v>139</v>
      </c>
      <c r="I45" s="40" t="s">
        <v>11</v>
      </c>
      <c r="J45" s="40" t="s">
        <v>11</v>
      </c>
      <c r="K45" s="40" t="s">
        <v>88</v>
      </c>
      <c r="L45" s="42" t="s">
        <v>242</v>
      </c>
      <c r="M45" s="43" t="n">
        <v>56.63</v>
      </c>
      <c r="N45" s="44" t="n">
        <v>0</v>
      </c>
      <c r="O45" s="45"/>
      <c r="P45" s="40" t="s">
        <v>233</v>
      </c>
      <c r="Q45" s="40" t="s">
        <v>243</v>
      </c>
      <c r="R45" s="42" t="s">
        <v>137</v>
      </c>
      <c r="S45" s="40" t="n">
        <v>0</v>
      </c>
      <c r="T45" s="40" t="n">
        <v>0</v>
      </c>
      <c r="U45" s="0" t="n">
        <f aca="false">IF(AND(OR('Daily Profitability'!$E$3="All",ISNUMBER(SEARCH('Daily Profitability'!$E$3,F45))),OR('Daily Profitability'!$H$3="All",I45='Daily Profitability'!$H$3),OR('Daily Profitability'!$K$3="All",J45='Daily Profitability'!$K$3),OR('Daily Profitability'!$N$3="All",K45='Daily Profitability'!$N$3)),1,0)</f>
        <v>1</v>
      </c>
    </row>
    <row r="46" customFormat="false" ht="15" hidden="false" customHeight="false" outlineLevel="0" collapsed="false">
      <c r="A46" s="40" t="s">
        <v>244</v>
      </c>
      <c r="B46" s="40" t="s">
        <v>244</v>
      </c>
      <c r="C46" s="40" t="s">
        <v>118</v>
      </c>
      <c r="D46" s="41" t="n">
        <v>46215</v>
      </c>
      <c r="E46" s="40" t="s">
        <v>15</v>
      </c>
      <c r="F46" s="40" t="s">
        <v>38</v>
      </c>
      <c r="G46" s="42" t="s">
        <v>176</v>
      </c>
      <c r="H46" s="40" t="s">
        <v>150</v>
      </c>
      <c r="I46" s="40" t="s">
        <v>55</v>
      </c>
      <c r="J46" s="40" t="s">
        <v>29</v>
      </c>
      <c r="K46" s="40" t="s">
        <v>57</v>
      </c>
      <c r="L46" s="42" t="s">
        <v>245</v>
      </c>
      <c r="M46" s="43" t="n">
        <v>5.157303371</v>
      </c>
      <c r="N46" s="44" t="n">
        <v>459000</v>
      </c>
      <c r="O46" s="45" t="n">
        <v>88999.9999963159</v>
      </c>
      <c r="P46" s="40" t="s">
        <v>233</v>
      </c>
      <c r="Q46" s="40" t="s">
        <v>246</v>
      </c>
      <c r="R46" s="42" t="s">
        <v>137</v>
      </c>
      <c r="S46" s="40" t="n">
        <v>0</v>
      </c>
      <c r="T46" s="40" t="n">
        <v>0</v>
      </c>
      <c r="U46" s="0" t="n">
        <f aca="false">IF(AND(OR('Daily Profitability'!$E$3="All",ISNUMBER(SEARCH('Daily Profitability'!$E$3,F46))),OR('Daily Profitability'!$H$3="All",I46='Daily Profitability'!$H$3),OR('Daily Profitability'!$K$3="All",J46='Daily Profitability'!$K$3),OR('Daily Profitability'!$N$3="All",K46='Daily Profitability'!$N$3)),1,0)</f>
        <v>0</v>
      </c>
    </row>
    <row r="47" customFormat="false" ht="15" hidden="false" customHeight="false" outlineLevel="0" collapsed="false">
      <c r="A47" s="40" t="s">
        <v>247</v>
      </c>
      <c r="B47" s="40" t="s">
        <v>247</v>
      </c>
      <c r="C47" s="40" t="s">
        <v>118</v>
      </c>
      <c r="D47" s="41" t="n">
        <v>46215</v>
      </c>
      <c r="E47" s="40" t="s">
        <v>15</v>
      </c>
      <c r="F47" s="40" t="s">
        <v>38</v>
      </c>
      <c r="G47" s="42" t="s">
        <v>176</v>
      </c>
      <c r="H47" s="40" t="s">
        <v>150</v>
      </c>
      <c r="I47" s="40" t="s">
        <v>55</v>
      </c>
      <c r="J47" s="40" t="s">
        <v>29</v>
      </c>
      <c r="K47" s="40" t="s">
        <v>62</v>
      </c>
      <c r="L47" s="42" t="s">
        <v>248</v>
      </c>
      <c r="M47" s="43" t="n">
        <v>83.36</v>
      </c>
      <c r="N47" s="44" t="n">
        <v>0</v>
      </c>
      <c r="O47" s="45"/>
      <c r="P47" s="40" t="s">
        <v>233</v>
      </c>
      <c r="Q47" s="40" t="s">
        <v>249</v>
      </c>
      <c r="R47" s="42" t="s">
        <v>137</v>
      </c>
      <c r="S47" s="40" t="n">
        <v>0</v>
      </c>
      <c r="T47" s="40" t="n">
        <v>0</v>
      </c>
      <c r="U47" s="0" t="n">
        <f aca="false">IF(AND(OR('Daily Profitability'!$E$3="All",ISNUMBER(SEARCH('Daily Profitability'!$E$3,F47))),OR('Daily Profitability'!$H$3="All",I47='Daily Profitability'!$H$3),OR('Daily Profitability'!$K$3="All",J47='Daily Profitability'!$K$3),OR('Daily Profitability'!$N$3="All",K47='Daily Profitability'!$N$3)),1,0)</f>
        <v>0</v>
      </c>
    </row>
    <row r="48" customFormat="false" ht="15" hidden="false" customHeight="false" outlineLevel="0" collapsed="false">
      <c r="A48" s="40" t="s">
        <v>250</v>
      </c>
      <c r="B48" s="40" t="s">
        <v>250</v>
      </c>
      <c r="C48" s="40" t="s">
        <v>126</v>
      </c>
      <c r="D48" s="41" t="n">
        <v>46220</v>
      </c>
      <c r="E48" s="40" t="s">
        <v>15</v>
      </c>
      <c r="F48" s="40" t="s">
        <v>16</v>
      </c>
      <c r="G48" s="42" t="s">
        <v>16</v>
      </c>
      <c r="H48" s="40" t="s">
        <v>139</v>
      </c>
      <c r="I48" s="40" t="s">
        <v>11</v>
      </c>
      <c r="J48" s="40" t="s">
        <v>11</v>
      </c>
      <c r="K48" s="40" t="s">
        <v>75</v>
      </c>
      <c r="L48" s="42" t="s">
        <v>216</v>
      </c>
      <c r="M48" s="43" t="n">
        <v>51.33</v>
      </c>
      <c r="N48" s="44" t="n">
        <v>0</v>
      </c>
      <c r="O48" s="45"/>
      <c r="P48" s="40" t="s">
        <v>251</v>
      </c>
      <c r="Q48" s="40" t="s">
        <v>169</v>
      </c>
      <c r="R48" s="42" t="s">
        <v>137</v>
      </c>
      <c r="S48" s="40" t="n">
        <v>0</v>
      </c>
      <c r="T48" s="40" t="n">
        <v>0</v>
      </c>
      <c r="U48" s="0" t="n">
        <f aca="false">IF(AND(OR('Daily Profitability'!$E$3="All",ISNUMBER(SEARCH('Daily Profitability'!$E$3,F48))),OR('Daily Profitability'!$H$3="All",I48='Daily Profitability'!$H$3),OR('Daily Profitability'!$K$3="All",J48='Daily Profitability'!$K$3),OR('Daily Profitability'!$N$3="All",K48='Daily Profitability'!$N$3)),1,0)</f>
        <v>1</v>
      </c>
    </row>
    <row r="49" customFormat="false" ht="113.4" hidden="false" customHeight="false" outlineLevel="0" collapsed="false">
      <c r="A49" s="40" t="s">
        <v>252</v>
      </c>
      <c r="B49" s="40" t="s">
        <v>252</v>
      </c>
      <c r="C49" s="40" t="s">
        <v>118</v>
      </c>
      <c r="D49" s="41" t="n">
        <v>46220</v>
      </c>
      <c r="E49" s="40" t="s">
        <v>15</v>
      </c>
      <c r="F49" s="40" t="s">
        <v>16</v>
      </c>
      <c r="G49" s="42" t="s">
        <v>16</v>
      </c>
      <c r="H49" s="40" t="s">
        <v>139</v>
      </c>
      <c r="I49" s="40" t="s">
        <v>11</v>
      </c>
      <c r="J49" s="40" t="s">
        <v>11</v>
      </c>
      <c r="K49" s="40" t="s">
        <v>86</v>
      </c>
      <c r="L49" s="42" t="s">
        <v>253</v>
      </c>
      <c r="M49" s="43" t="n">
        <v>374.71</v>
      </c>
      <c r="N49" s="44" t="n">
        <v>27850538</v>
      </c>
      <c r="O49" s="45" t="n">
        <v>74325.5797816978</v>
      </c>
      <c r="P49" s="40" t="s">
        <v>251</v>
      </c>
      <c r="Q49" s="40" t="s">
        <v>254</v>
      </c>
      <c r="R49" s="42" t="s">
        <v>137</v>
      </c>
      <c r="S49" s="40" t="n">
        <v>0</v>
      </c>
      <c r="T49" s="40" t="n">
        <v>0</v>
      </c>
      <c r="U49" s="0" t="n">
        <f aca="false">IF(AND(OR('Daily Profitability'!$E$3="All",ISNUMBER(SEARCH('Daily Profitability'!$E$3,F49))),OR('Daily Profitability'!$H$3="All",I49='Daily Profitability'!$H$3),OR('Daily Profitability'!$K$3="All",J49='Daily Profitability'!$K$3),OR('Daily Profitability'!$N$3="All",K49='Daily Profitability'!$N$3)),1,0)</f>
        <v>1</v>
      </c>
    </row>
    <row r="50" customFormat="false" ht="15" hidden="false" customHeight="false" outlineLevel="0" collapsed="false">
      <c r="A50" s="40" t="s">
        <v>255</v>
      </c>
      <c r="B50" s="40" t="s">
        <v>255</v>
      </c>
      <c r="C50" s="40" t="s">
        <v>118</v>
      </c>
      <c r="D50" s="41" t="n">
        <v>46220</v>
      </c>
      <c r="E50" s="40" t="s">
        <v>15</v>
      </c>
      <c r="F50" s="40" t="s">
        <v>16</v>
      </c>
      <c r="G50" s="42" t="s">
        <v>16</v>
      </c>
      <c r="H50" s="40" t="s">
        <v>150</v>
      </c>
      <c r="I50" s="40" t="s">
        <v>55</v>
      </c>
      <c r="J50" s="40" t="s">
        <v>29</v>
      </c>
      <c r="K50" s="40" t="s">
        <v>79</v>
      </c>
      <c r="L50" s="42" t="s">
        <v>256</v>
      </c>
      <c r="M50" s="43" t="n">
        <v>92</v>
      </c>
      <c r="N50" s="44" t="n">
        <v>0</v>
      </c>
      <c r="O50" s="45"/>
      <c r="P50" s="40" t="s">
        <v>251</v>
      </c>
      <c r="Q50" s="40" t="s">
        <v>257</v>
      </c>
      <c r="R50" s="42" t="s">
        <v>137</v>
      </c>
      <c r="S50" s="40" t="n">
        <v>0</v>
      </c>
      <c r="T50" s="40" t="n">
        <v>0</v>
      </c>
      <c r="U50" s="0" t="n">
        <f aca="false">IF(AND(OR('Daily Profitability'!$E$3="All",ISNUMBER(SEARCH('Daily Profitability'!$E$3,F50))),OR('Daily Profitability'!$H$3="All",I50='Daily Profitability'!$H$3),OR('Daily Profitability'!$K$3="All",J50='Daily Profitability'!$K$3),OR('Daily Profitability'!$N$3="All",K50='Daily Profitability'!$N$3)),1,0)</f>
        <v>0</v>
      </c>
    </row>
    <row r="51" customFormat="false" ht="35.05" hidden="false" customHeight="false" outlineLevel="0" collapsed="false">
      <c r="A51" s="40" t="s">
        <v>258</v>
      </c>
      <c r="B51" s="40" t="s">
        <v>258</v>
      </c>
      <c r="C51" s="40" t="s">
        <v>118</v>
      </c>
      <c r="D51" s="41" t="n">
        <v>46220</v>
      </c>
      <c r="E51" s="40" t="s">
        <v>15</v>
      </c>
      <c r="F51" s="40" t="s">
        <v>16</v>
      </c>
      <c r="G51" s="42" t="s">
        <v>16</v>
      </c>
      <c r="H51" s="40" t="s">
        <v>139</v>
      </c>
      <c r="I51" s="40" t="s">
        <v>11</v>
      </c>
      <c r="J51" s="40" t="s">
        <v>11</v>
      </c>
      <c r="K51" s="40" t="s">
        <v>76</v>
      </c>
      <c r="L51" s="42" t="s">
        <v>259</v>
      </c>
      <c r="M51" s="43" t="n">
        <v>101.28</v>
      </c>
      <c r="N51" s="44" t="n">
        <v>9100231</v>
      </c>
      <c r="O51" s="45" t="n">
        <v>89852.2018167457</v>
      </c>
      <c r="P51" s="40" t="s">
        <v>251</v>
      </c>
      <c r="Q51" s="40" t="s">
        <v>260</v>
      </c>
      <c r="R51" s="42" t="s">
        <v>137</v>
      </c>
      <c r="S51" s="40" t="n">
        <v>0</v>
      </c>
      <c r="T51" s="40" t="n">
        <v>0</v>
      </c>
      <c r="U51" s="0" t="n">
        <f aca="false">IF(AND(OR('Daily Profitability'!$E$3="All",ISNUMBER(SEARCH('Daily Profitability'!$E$3,F51))),OR('Daily Profitability'!$H$3="All",I51='Daily Profitability'!$H$3),OR('Daily Profitability'!$K$3="All",J51='Daily Profitability'!$K$3),OR('Daily Profitability'!$N$3="All",K51='Daily Profitability'!$N$3)),1,0)</f>
        <v>1</v>
      </c>
    </row>
    <row r="52" customFormat="false" ht="23.85" hidden="false" customHeight="false" outlineLevel="0" collapsed="false">
      <c r="A52" s="40" t="s">
        <v>261</v>
      </c>
      <c r="B52" s="40" t="s">
        <v>261</v>
      </c>
      <c r="C52" s="40" t="s">
        <v>126</v>
      </c>
      <c r="D52" s="41" t="n">
        <v>46220</v>
      </c>
      <c r="E52" s="40" t="s">
        <v>15</v>
      </c>
      <c r="F52" s="40" t="s">
        <v>16</v>
      </c>
      <c r="G52" s="42" t="s">
        <v>16</v>
      </c>
      <c r="H52" s="40" t="s">
        <v>127</v>
      </c>
      <c r="I52" s="40" t="s">
        <v>28</v>
      </c>
      <c r="J52" s="40" t="s">
        <v>58</v>
      </c>
      <c r="K52" s="40" t="s">
        <v>41</v>
      </c>
      <c r="L52" s="42" t="s">
        <v>262</v>
      </c>
      <c r="M52" s="43" t="n">
        <v>134.75</v>
      </c>
      <c r="N52" s="44" t="n">
        <v>0</v>
      </c>
      <c r="O52" s="45"/>
      <c r="P52" s="40" t="s">
        <v>251</v>
      </c>
      <c r="Q52" s="40" t="s">
        <v>263</v>
      </c>
      <c r="R52" s="42" t="s">
        <v>137</v>
      </c>
      <c r="S52" s="40" t="n">
        <v>0</v>
      </c>
      <c r="T52" s="40" t="n">
        <v>0</v>
      </c>
      <c r="U52" s="0" t="n">
        <f aca="false">IF(AND(OR('Daily Profitability'!$E$3="All",ISNUMBER(SEARCH('Daily Profitability'!$E$3,F52))),OR('Daily Profitability'!$H$3="All",I52='Daily Profitability'!$H$3),OR('Daily Profitability'!$K$3="All",J52='Daily Profitability'!$K$3),OR('Daily Profitability'!$N$3="All",K52='Daily Profitability'!$N$3)),1,0)</f>
        <v>0</v>
      </c>
    </row>
    <row r="53" customFormat="false" ht="23.85" hidden="false" customHeight="false" outlineLevel="0" collapsed="false">
      <c r="A53" s="40" t="s">
        <v>264</v>
      </c>
      <c r="B53" s="40" t="s">
        <v>264</v>
      </c>
      <c r="C53" s="40" t="s">
        <v>126</v>
      </c>
      <c r="D53" s="41" t="n">
        <v>46220</v>
      </c>
      <c r="E53" s="40" t="s">
        <v>15</v>
      </c>
      <c r="F53" s="40" t="s">
        <v>16</v>
      </c>
      <c r="G53" s="42" t="s">
        <v>16</v>
      </c>
      <c r="H53" s="40" t="s">
        <v>139</v>
      </c>
      <c r="I53" s="40" t="s">
        <v>11</v>
      </c>
      <c r="J53" s="40" t="s">
        <v>11</v>
      </c>
      <c r="K53" s="40" t="s">
        <v>78</v>
      </c>
      <c r="L53" s="42" t="s">
        <v>265</v>
      </c>
      <c r="M53" s="43" t="n">
        <v>185.9</v>
      </c>
      <c r="N53" s="44" t="n">
        <v>0</v>
      </c>
      <c r="O53" s="45"/>
      <c r="P53" s="40" t="s">
        <v>251</v>
      </c>
      <c r="Q53" s="40" t="s">
        <v>266</v>
      </c>
      <c r="R53" s="42" t="s">
        <v>137</v>
      </c>
      <c r="S53" s="40" t="n">
        <v>0</v>
      </c>
      <c r="T53" s="40" t="n">
        <v>0</v>
      </c>
      <c r="U53" s="0" t="n">
        <f aca="false">IF(AND(OR('Daily Profitability'!$E$3="All",ISNUMBER(SEARCH('Daily Profitability'!$E$3,F53))),OR('Daily Profitability'!$H$3="All",I53='Daily Profitability'!$H$3),OR('Daily Profitability'!$K$3="All",J53='Daily Profitability'!$K$3),OR('Daily Profitability'!$N$3="All",K53='Daily Profitability'!$N$3)),1,0)</f>
        <v>1</v>
      </c>
    </row>
    <row r="54" customFormat="false" ht="15" hidden="false" customHeight="false" outlineLevel="0" collapsed="false">
      <c r="A54" s="40" t="s">
        <v>267</v>
      </c>
      <c r="B54" s="40" t="s">
        <v>267</v>
      </c>
      <c r="C54" s="40" t="s">
        <v>118</v>
      </c>
      <c r="D54" s="41" t="n">
        <v>46220</v>
      </c>
      <c r="E54" s="40" t="s">
        <v>15</v>
      </c>
      <c r="F54" s="40" t="s">
        <v>16</v>
      </c>
      <c r="G54" s="42" t="s">
        <v>16</v>
      </c>
      <c r="H54" s="40" t="s">
        <v>139</v>
      </c>
      <c r="I54" s="40" t="s">
        <v>11</v>
      </c>
      <c r="J54" s="40" t="s">
        <v>11</v>
      </c>
      <c r="K54" s="40" t="s">
        <v>35</v>
      </c>
      <c r="L54" s="42" t="s">
        <v>268</v>
      </c>
      <c r="M54" s="43" t="n">
        <v>19.09</v>
      </c>
      <c r="N54" s="44" t="n">
        <v>0</v>
      </c>
      <c r="O54" s="45"/>
      <c r="P54" s="40" t="s">
        <v>251</v>
      </c>
      <c r="Q54" s="40" t="s">
        <v>269</v>
      </c>
      <c r="R54" s="42" t="s">
        <v>137</v>
      </c>
      <c r="S54" s="40" t="n">
        <v>0</v>
      </c>
      <c r="T54" s="40" t="n">
        <v>0</v>
      </c>
      <c r="U54" s="0" t="n">
        <f aca="false">IF(AND(OR('Daily Profitability'!$E$3="All",ISNUMBER(SEARCH('Daily Profitability'!$E$3,F54))),OR('Daily Profitability'!$H$3="All",I54='Daily Profitability'!$H$3),OR('Daily Profitability'!$K$3="All",J54='Daily Profitability'!$K$3),OR('Daily Profitability'!$N$3="All",K54='Daily Profitability'!$N$3)),1,0)</f>
        <v>1</v>
      </c>
    </row>
    <row r="55" customFormat="false" ht="15" hidden="false" customHeight="false" outlineLevel="0" collapsed="false">
      <c r="A55" s="40" t="s">
        <v>270</v>
      </c>
      <c r="B55" s="40" t="s">
        <v>270</v>
      </c>
      <c r="C55" s="40" t="s">
        <v>118</v>
      </c>
      <c r="D55" s="41" t="n">
        <v>46221</v>
      </c>
      <c r="E55" s="40" t="s">
        <v>15</v>
      </c>
      <c r="F55" s="40" t="s">
        <v>38</v>
      </c>
      <c r="G55" s="42" t="s">
        <v>176</v>
      </c>
      <c r="H55" s="40" t="s">
        <v>139</v>
      </c>
      <c r="I55" s="40" t="s">
        <v>11</v>
      </c>
      <c r="J55" s="40" t="s">
        <v>11</v>
      </c>
      <c r="K55" s="40" t="s">
        <v>86</v>
      </c>
      <c r="L55" s="42" t="s">
        <v>271</v>
      </c>
      <c r="M55" s="43" t="n">
        <v>51.219</v>
      </c>
      <c r="N55" s="44" t="n">
        <v>0</v>
      </c>
      <c r="O55" s="45"/>
      <c r="P55" s="40" t="s">
        <v>272</v>
      </c>
      <c r="Q55" s="40" t="s">
        <v>273</v>
      </c>
      <c r="R55" s="42" t="s">
        <v>137</v>
      </c>
      <c r="S55" s="40" t="n">
        <v>0</v>
      </c>
      <c r="T55" s="40" t="n">
        <v>0</v>
      </c>
      <c r="U55" s="0" t="n">
        <f aca="false">IF(AND(OR('Daily Profitability'!$E$3="All",ISNUMBER(SEARCH('Daily Profitability'!$E$3,F55))),OR('Daily Profitability'!$H$3="All",I55='Daily Profitability'!$H$3),OR('Daily Profitability'!$K$3="All",J55='Daily Profitability'!$K$3),OR('Daily Profitability'!$N$3="All",K55='Daily Profitability'!$N$3)),1,0)</f>
        <v>1</v>
      </c>
    </row>
    <row r="56" customFormat="false" ht="15" hidden="false" customHeight="false" outlineLevel="0" collapsed="false">
      <c r="A56" s="40" t="s">
        <v>274</v>
      </c>
      <c r="B56" s="40" t="s">
        <v>274</v>
      </c>
      <c r="C56" s="40" t="s">
        <v>118</v>
      </c>
      <c r="D56" s="41" t="n">
        <v>46221</v>
      </c>
      <c r="E56" s="40" t="s">
        <v>15</v>
      </c>
      <c r="F56" s="40" t="s">
        <v>38</v>
      </c>
      <c r="G56" s="42" t="s">
        <v>176</v>
      </c>
      <c r="H56" s="40" t="s">
        <v>139</v>
      </c>
      <c r="I56" s="40" t="s">
        <v>11</v>
      </c>
      <c r="J56" s="40" t="s">
        <v>11</v>
      </c>
      <c r="K56" s="40" t="s">
        <v>86</v>
      </c>
      <c r="L56" s="42" t="s">
        <v>275</v>
      </c>
      <c r="M56" s="43" t="n">
        <v>20.4</v>
      </c>
      <c r="N56" s="44" t="n">
        <v>0</v>
      </c>
      <c r="O56" s="45"/>
      <c r="P56" s="40" t="s">
        <v>272</v>
      </c>
      <c r="Q56" s="40" t="s">
        <v>144</v>
      </c>
      <c r="R56" s="42" t="s">
        <v>137</v>
      </c>
      <c r="S56" s="40" t="n">
        <v>0</v>
      </c>
      <c r="T56" s="40" t="n">
        <v>0</v>
      </c>
      <c r="U56" s="0" t="n">
        <f aca="false">IF(AND(OR('Daily Profitability'!$E$3="All",ISNUMBER(SEARCH('Daily Profitability'!$E$3,F56))),OR('Daily Profitability'!$H$3="All",I56='Daily Profitability'!$H$3),OR('Daily Profitability'!$K$3="All",J56='Daily Profitability'!$K$3),OR('Daily Profitability'!$N$3="All",K56='Daily Profitability'!$N$3)),1,0)</f>
        <v>1</v>
      </c>
    </row>
    <row r="57" customFormat="false" ht="15" hidden="false" customHeight="false" outlineLevel="0" collapsed="false">
      <c r="A57" s="40" t="s">
        <v>276</v>
      </c>
      <c r="B57" s="40" t="s">
        <v>276</v>
      </c>
      <c r="C57" s="40" t="s">
        <v>118</v>
      </c>
      <c r="D57" s="41" t="n">
        <v>46221</v>
      </c>
      <c r="E57" s="40" t="s">
        <v>15</v>
      </c>
      <c r="F57" s="40" t="s">
        <v>38</v>
      </c>
      <c r="G57" s="42" t="s">
        <v>176</v>
      </c>
      <c r="H57" s="40" t="s">
        <v>139</v>
      </c>
      <c r="I57" s="40" t="s">
        <v>11</v>
      </c>
      <c r="J57" s="40" t="s">
        <v>11</v>
      </c>
      <c r="K57" s="40" t="s">
        <v>35</v>
      </c>
      <c r="L57" s="42" t="s">
        <v>277</v>
      </c>
      <c r="M57" s="43" t="n">
        <v>37.09</v>
      </c>
      <c r="N57" s="44" t="n">
        <v>0</v>
      </c>
      <c r="O57" s="45"/>
      <c r="P57" s="40" t="s">
        <v>272</v>
      </c>
      <c r="Q57" s="40" t="s">
        <v>214</v>
      </c>
      <c r="R57" s="42" t="s">
        <v>137</v>
      </c>
      <c r="S57" s="40" t="n">
        <v>0</v>
      </c>
      <c r="T57" s="40" t="n">
        <v>0</v>
      </c>
      <c r="U57" s="0" t="n">
        <f aca="false">IF(AND(OR('Daily Profitability'!$E$3="All",ISNUMBER(SEARCH('Daily Profitability'!$E$3,F57))),OR('Daily Profitability'!$H$3="All",I57='Daily Profitability'!$H$3),OR('Daily Profitability'!$K$3="All",J57='Daily Profitability'!$K$3),OR('Daily Profitability'!$N$3="All",K57='Daily Profitability'!$N$3)),1,0)</f>
        <v>1</v>
      </c>
    </row>
    <row r="58" customFormat="false" ht="15" hidden="false" customHeight="false" outlineLevel="0" collapsed="false">
      <c r="A58" s="40" t="s">
        <v>278</v>
      </c>
      <c r="B58" s="40" t="s">
        <v>278</v>
      </c>
      <c r="C58" s="40" t="s">
        <v>118</v>
      </c>
      <c r="D58" s="41" t="n">
        <v>46221</v>
      </c>
      <c r="E58" s="40" t="s">
        <v>15</v>
      </c>
      <c r="F58" s="40" t="s">
        <v>38</v>
      </c>
      <c r="G58" s="42" t="s">
        <v>176</v>
      </c>
      <c r="H58" s="40" t="s">
        <v>139</v>
      </c>
      <c r="I58" s="40" t="s">
        <v>11</v>
      </c>
      <c r="J58" s="40" t="s">
        <v>11</v>
      </c>
      <c r="K58" s="40" t="s">
        <v>78</v>
      </c>
      <c r="L58" s="42" t="s">
        <v>279</v>
      </c>
      <c r="M58" s="43" t="n">
        <v>34.5</v>
      </c>
      <c r="N58" s="44" t="n">
        <v>0</v>
      </c>
      <c r="O58" s="45"/>
      <c r="P58" s="40" t="s">
        <v>272</v>
      </c>
      <c r="Q58" s="40" t="s">
        <v>147</v>
      </c>
      <c r="R58" s="42" t="s">
        <v>137</v>
      </c>
      <c r="S58" s="40" t="n">
        <v>0</v>
      </c>
      <c r="T58" s="40" t="n">
        <v>0</v>
      </c>
      <c r="U58" s="0" t="n">
        <f aca="false">IF(AND(OR('Daily Profitability'!$E$3="All",ISNUMBER(SEARCH('Daily Profitability'!$E$3,F58))),OR('Daily Profitability'!$H$3="All",I58='Daily Profitability'!$H$3),OR('Daily Profitability'!$K$3="All",J58='Daily Profitability'!$K$3),OR('Daily Profitability'!$N$3="All",K58='Daily Profitability'!$N$3)),1,0)</f>
        <v>1</v>
      </c>
    </row>
    <row r="59" customFormat="false" ht="15" hidden="false" customHeight="false" outlineLevel="0" collapsed="false">
      <c r="A59" s="40" t="s">
        <v>280</v>
      </c>
      <c r="B59" s="40" t="s">
        <v>280</v>
      </c>
      <c r="C59" s="40" t="s">
        <v>118</v>
      </c>
      <c r="D59" s="41" t="n">
        <v>46221</v>
      </c>
      <c r="E59" s="40" t="s">
        <v>15</v>
      </c>
      <c r="F59" s="40" t="s">
        <v>38</v>
      </c>
      <c r="G59" s="42" t="s">
        <v>176</v>
      </c>
      <c r="H59" s="40" t="s">
        <v>139</v>
      </c>
      <c r="I59" s="40" t="s">
        <v>11</v>
      </c>
      <c r="J59" s="40" t="s">
        <v>11</v>
      </c>
      <c r="K59" s="40" t="s">
        <v>75</v>
      </c>
      <c r="L59" s="42" t="s">
        <v>134</v>
      </c>
      <c r="M59" s="43" t="n">
        <v>74.84</v>
      </c>
      <c r="N59" s="44" t="n">
        <v>0</v>
      </c>
      <c r="O59" s="45"/>
      <c r="P59" s="40" t="s">
        <v>272</v>
      </c>
      <c r="Q59" s="40" t="s">
        <v>129</v>
      </c>
      <c r="R59" s="42" t="s">
        <v>137</v>
      </c>
      <c r="S59" s="40" t="n">
        <v>0</v>
      </c>
      <c r="T59" s="40" t="n">
        <v>0</v>
      </c>
      <c r="U59" s="0" t="n">
        <f aca="false">IF(AND(OR('Daily Profitability'!$E$3="All",ISNUMBER(SEARCH('Daily Profitability'!$E$3,F59))),OR('Daily Profitability'!$H$3="All",I59='Daily Profitability'!$H$3),OR('Daily Profitability'!$K$3="All",J59='Daily Profitability'!$K$3),OR('Daily Profitability'!$N$3="All",K59='Daily Profitability'!$N$3)),1,0)</f>
        <v>1</v>
      </c>
    </row>
    <row r="60" customFormat="false" ht="15" hidden="false" customHeight="false" outlineLevel="0" collapsed="false">
      <c r="A60" s="40" t="s">
        <v>281</v>
      </c>
      <c r="B60" s="40" t="s">
        <v>281</v>
      </c>
      <c r="C60" s="40" t="s">
        <v>118</v>
      </c>
      <c r="D60" s="41" t="n">
        <v>46222</v>
      </c>
      <c r="E60" s="40" t="s">
        <v>15</v>
      </c>
      <c r="F60" s="40" t="s">
        <v>16</v>
      </c>
      <c r="G60" s="42" t="s">
        <v>16</v>
      </c>
      <c r="H60" s="40" t="s">
        <v>139</v>
      </c>
      <c r="I60" s="40" t="s">
        <v>11</v>
      </c>
      <c r="J60" s="40" t="s">
        <v>11</v>
      </c>
      <c r="K60" s="40" t="s">
        <v>82</v>
      </c>
      <c r="L60" s="42" t="s">
        <v>282</v>
      </c>
      <c r="M60" s="43" t="n">
        <v>25.39325843</v>
      </c>
      <c r="N60" s="44" t="n">
        <v>2260000</v>
      </c>
      <c r="O60" s="45" t="n">
        <v>88999.9999893673</v>
      </c>
      <c r="P60" s="40" t="s">
        <v>283</v>
      </c>
      <c r="Q60" s="40" t="s">
        <v>284</v>
      </c>
      <c r="R60" s="42" t="s">
        <v>137</v>
      </c>
      <c r="S60" s="40" t="n">
        <v>0</v>
      </c>
      <c r="T60" s="40" t="n">
        <v>0</v>
      </c>
      <c r="U60" s="0" t="n">
        <f aca="false">IF(AND(OR('Daily Profitability'!$E$3="All",ISNUMBER(SEARCH('Daily Profitability'!$E$3,F60))),OR('Daily Profitability'!$H$3="All",I60='Daily Profitability'!$H$3),OR('Daily Profitability'!$K$3="All",J60='Daily Profitability'!$K$3),OR('Daily Profitability'!$N$3="All",K60='Daily Profitability'!$N$3)),1,0)</f>
        <v>1</v>
      </c>
    </row>
    <row r="61" customFormat="false" ht="15" hidden="false" customHeight="false" outlineLevel="0" collapsed="false">
      <c r="A61" s="40" t="s">
        <v>285</v>
      </c>
      <c r="B61" s="40" t="s">
        <v>285</v>
      </c>
      <c r="C61" s="40" t="s">
        <v>118</v>
      </c>
      <c r="D61" s="41" t="n">
        <v>46222</v>
      </c>
      <c r="E61" s="40" t="s">
        <v>15</v>
      </c>
      <c r="F61" s="40" t="s">
        <v>16</v>
      </c>
      <c r="G61" s="42" t="s">
        <v>16</v>
      </c>
      <c r="H61" s="40" t="s">
        <v>139</v>
      </c>
      <c r="I61" s="40" t="s">
        <v>11</v>
      </c>
      <c r="J61" s="40" t="s">
        <v>11</v>
      </c>
      <c r="K61" s="40" t="s">
        <v>35</v>
      </c>
      <c r="L61" s="42" t="s">
        <v>286</v>
      </c>
      <c r="M61" s="43" t="n">
        <v>37.573595506</v>
      </c>
      <c r="N61" s="44" t="n">
        <v>3344050</v>
      </c>
      <c r="O61" s="45" t="n">
        <v>88999.9999990951</v>
      </c>
      <c r="P61" s="40" t="s">
        <v>283</v>
      </c>
      <c r="Q61" s="40" t="s">
        <v>185</v>
      </c>
      <c r="R61" s="42" t="s">
        <v>137</v>
      </c>
      <c r="S61" s="40" t="n">
        <v>0</v>
      </c>
      <c r="T61" s="40" t="n">
        <v>0</v>
      </c>
      <c r="U61" s="0" t="n">
        <f aca="false">IF(AND(OR('Daily Profitability'!$E$3="All",ISNUMBER(SEARCH('Daily Profitability'!$E$3,F61))),OR('Daily Profitability'!$H$3="All",I61='Daily Profitability'!$H$3),OR('Daily Profitability'!$K$3="All",J61='Daily Profitability'!$K$3),OR('Daily Profitability'!$N$3="All",K61='Daily Profitability'!$N$3)),1,0)</f>
        <v>1</v>
      </c>
    </row>
    <row r="62" customFormat="false" ht="15" hidden="false" customHeight="false" outlineLevel="0" collapsed="false">
      <c r="A62" s="40" t="s">
        <v>287</v>
      </c>
      <c r="B62" s="40" t="s">
        <v>287</v>
      </c>
      <c r="C62" s="40" t="s">
        <v>118</v>
      </c>
      <c r="D62" s="41" t="n">
        <v>46222</v>
      </c>
      <c r="E62" s="40" t="s">
        <v>15</v>
      </c>
      <c r="F62" s="40" t="s">
        <v>16</v>
      </c>
      <c r="G62" s="42" t="s">
        <v>16</v>
      </c>
      <c r="H62" s="40" t="s">
        <v>139</v>
      </c>
      <c r="I62" s="40" t="s">
        <v>11</v>
      </c>
      <c r="J62" s="40" t="s">
        <v>11</v>
      </c>
      <c r="K62" s="40" t="s">
        <v>78</v>
      </c>
      <c r="L62" s="42" t="s">
        <v>288</v>
      </c>
      <c r="M62" s="43" t="n">
        <v>61.528573041</v>
      </c>
      <c r="N62" s="44" t="n">
        <v>5476043</v>
      </c>
      <c r="O62" s="45" t="n">
        <v>88999.9999894521</v>
      </c>
      <c r="P62" s="40" t="s">
        <v>283</v>
      </c>
      <c r="Q62" s="40" t="s">
        <v>289</v>
      </c>
      <c r="R62" s="42" t="s">
        <v>137</v>
      </c>
      <c r="S62" s="40" t="n">
        <v>0</v>
      </c>
      <c r="T62" s="40" t="n">
        <v>0</v>
      </c>
      <c r="U62" s="0" t="n">
        <f aca="false">IF(AND(OR('Daily Profitability'!$E$3="All",ISNUMBER(SEARCH('Daily Profitability'!$E$3,F62))),OR('Daily Profitability'!$H$3="All",I62='Daily Profitability'!$H$3),OR('Daily Profitability'!$K$3="All",J62='Daily Profitability'!$K$3),OR('Daily Profitability'!$N$3="All",K62='Daily Profitability'!$N$3)),1,0)</f>
        <v>1</v>
      </c>
    </row>
    <row r="63" customFormat="false" ht="15" hidden="false" customHeight="false" outlineLevel="0" collapsed="false">
      <c r="A63" s="40" t="s">
        <v>290</v>
      </c>
      <c r="B63" s="40" t="s">
        <v>290</v>
      </c>
      <c r="C63" s="40" t="s">
        <v>118</v>
      </c>
      <c r="D63" s="41" t="n">
        <v>46223</v>
      </c>
      <c r="E63" s="40" t="s">
        <v>15</v>
      </c>
      <c r="F63" s="40" t="s">
        <v>38</v>
      </c>
      <c r="G63" s="42" t="s">
        <v>176</v>
      </c>
      <c r="H63" s="40"/>
      <c r="I63" s="40" t="s">
        <v>11</v>
      </c>
      <c r="J63" s="40" t="s">
        <v>11</v>
      </c>
      <c r="K63" s="40" t="s">
        <v>75</v>
      </c>
      <c r="L63" s="42" t="s">
        <v>134</v>
      </c>
      <c r="M63" s="43" t="n">
        <v>45.39</v>
      </c>
      <c r="N63" s="44" t="n">
        <v>0</v>
      </c>
      <c r="O63" s="45"/>
      <c r="P63" s="40" t="s">
        <v>291</v>
      </c>
      <c r="Q63" s="40" t="s">
        <v>171</v>
      </c>
      <c r="R63" s="42" t="s">
        <v>292</v>
      </c>
      <c r="S63" s="40" t="n">
        <v>0</v>
      </c>
      <c r="T63" s="40" t="n">
        <v>0</v>
      </c>
      <c r="U63" s="0" t="n">
        <f aca="false">IF(AND(OR('Daily Profitability'!$E$3="All",ISNUMBER(SEARCH('Daily Profitability'!$E$3,F63))),OR('Daily Profitability'!$H$3="All",I63='Daily Profitability'!$H$3),OR('Daily Profitability'!$K$3="All",J63='Daily Profitability'!$K$3),OR('Daily Profitability'!$N$3="All",K63='Daily Profitability'!$N$3)),1,0)</f>
        <v>1</v>
      </c>
    </row>
    <row r="64" customFormat="false" ht="15" hidden="false" customHeight="false" outlineLevel="0" collapsed="false">
      <c r="A64" s="40" t="s">
        <v>293</v>
      </c>
      <c r="B64" s="40" t="s">
        <v>293</v>
      </c>
      <c r="C64" s="40" t="s">
        <v>118</v>
      </c>
      <c r="D64" s="41" t="n">
        <v>46224</v>
      </c>
      <c r="E64" s="40" t="s">
        <v>15</v>
      </c>
      <c r="F64" s="40" t="s">
        <v>36</v>
      </c>
      <c r="G64" s="42" t="s">
        <v>294</v>
      </c>
      <c r="H64" s="40" t="s">
        <v>127</v>
      </c>
      <c r="I64" s="40" t="s">
        <v>17</v>
      </c>
      <c r="J64" s="40" t="s">
        <v>18</v>
      </c>
      <c r="K64" s="40" t="s">
        <v>78</v>
      </c>
      <c r="L64" s="42" t="s">
        <v>295</v>
      </c>
      <c r="M64" s="43" t="n">
        <v>5.11</v>
      </c>
      <c r="N64" s="44" t="n">
        <v>0</v>
      </c>
      <c r="O64" s="45"/>
      <c r="P64" s="40" t="s">
        <v>296</v>
      </c>
      <c r="Q64" s="40" t="s">
        <v>273</v>
      </c>
      <c r="R64" s="42" t="s">
        <v>137</v>
      </c>
      <c r="S64" s="40" t="n">
        <v>0</v>
      </c>
      <c r="T64" s="40" t="n">
        <v>0</v>
      </c>
      <c r="U64" s="0" t="n">
        <f aca="false">IF(AND(OR('Daily Profitability'!$E$3="All",ISNUMBER(SEARCH('Daily Profitability'!$E$3,F64))),OR('Daily Profitability'!$H$3="All",I64='Daily Profitability'!$H$3),OR('Daily Profitability'!$K$3="All",J64='Daily Profitability'!$K$3),OR('Daily Profitability'!$N$3="All",K64='Daily Profitability'!$N$3)),1,0)</f>
        <v>0</v>
      </c>
    </row>
    <row r="65" customFormat="false" ht="15" hidden="false" customHeight="false" outlineLevel="0" collapsed="false">
      <c r="A65" s="40" t="s">
        <v>297</v>
      </c>
      <c r="B65" s="40" t="s">
        <v>297</v>
      </c>
      <c r="C65" s="40" t="s">
        <v>126</v>
      </c>
      <c r="D65" s="41" t="n">
        <v>46224</v>
      </c>
      <c r="E65" s="40" t="s">
        <v>15</v>
      </c>
      <c r="F65" s="40" t="s">
        <v>36</v>
      </c>
      <c r="G65" s="42" t="s">
        <v>294</v>
      </c>
      <c r="H65" s="40" t="s">
        <v>150</v>
      </c>
      <c r="I65" s="40" t="s">
        <v>55</v>
      </c>
      <c r="J65" s="40" t="s">
        <v>29</v>
      </c>
      <c r="K65" s="40" t="s">
        <v>79</v>
      </c>
      <c r="L65" s="42" t="s">
        <v>298</v>
      </c>
      <c r="M65" s="43" t="n">
        <v>29.88</v>
      </c>
      <c r="N65" s="44" t="n">
        <v>0</v>
      </c>
      <c r="O65" s="45"/>
      <c r="P65" s="40" t="s">
        <v>296</v>
      </c>
      <c r="Q65" s="40" t="s">
        <v>141</v>
      </c>
      <c r="R65" s="42" t="s">
        <v>137</v>
      </c>
      <c r="S65" s="40" t="n">
        <v>0</v>
      </c>
      <c r="T65" s="40" t="n">
        <v>0</v>
      </c>
      <c r="U65" s="0" t="n">
        <f aca="false">IF(AND(OR('Daily Profitability'!$E$3="All",ISNUMBER(SEARCH('Daily Profitability'!$E$3,F65))),OR('Daily Profitability'!$H$3="All",I65='Daily Profitability'!$H$3),OR('Daily Profitability'!$K$3="All",J65='Daily Profitability'!$K$3),OR('Daily Profitability'!$N$3="All",K65='Daily Profitability'!$N$3)),1,0)</f>
        <v>0</v>
      </c>
    </row>
    <row r="66" customFormat="false" ht="15" hidden="false" customHeight="false" outlineLevel="0" collapsed="false">
      <c r="A66" s="40" t="s">
        <v>299</v>
      </c>
      <c r="B66" s="40" t="s">
        <v>299</v>
      </c>
      <c r="C66" s="40" t="s">
        <v>118</v>
      </c>
      <c r="D66" s="41" t="n">
        <v>46224</v>
      </c>
      <c r="E66" s="40" t="s">
        <v>15</v>
      </c>
      <c r="F66" s="40" t="s">
        <v>36</v>
      </c>
      <c r="G66" s="42" t="s">
        <v>294</v>
      </c>
      <c r="H66" s="40" t="s">
        <v>150</v>
      </c>
      <c r="I66" s="40" t="s">
        <v>55</v>
      </c>
      <c r="J66" s="40" t="s">
        <v>29</v>
      </c>
      <c r="K66" s="40" t="s">
        <v>57</v>
      </c>
      <c r="L66" s="42" t="s">
        <v>300</v>
      </c>
      <c r="M66" s="43" t="n">
        <v>38.7</v>
      </c>
      <c r="N66" s="44" t="n">
        <v>0</v>
      </c>
      <c r="O66" s="45"/>
      <c r="P66" s="40" t="s">
        <v>296</v>
      </c>
      <c r="Q66" s="40" t="s">
        <v>144</v>
      </c>
      <c r="R66" s="42" t="s">
        <v>137</v>
      </c>
      <c r="S66" s="40" t="n">
        <v>0</v>
      </c>
      <c r="T66" s="40" t="n">
        <v>0</v>
      </c>
      <c r="U66" s="0" t="n">
        <f aca="false">IF(AND(OR('Daily Profitability'!$E$3="All",ISNUMBER(SEARCH('Daily Profitability'!$E$3,F66))),OR('Daily Profitability'!$H$3="All",I66='Daily Profitability'!$H$3),OR('Daily Profitability'!$K$3="All",J66='Daily Profitability'!$K$3),OR('Daily Profitability'!$N$3="All",K66='Daily Profitability'!$N$3)),1,0)</f>
        <v>0</v>
      </c>
    </row>
    <row r="67" customFormat="false" ht="23.85" hidden="false" customHeight="false" outlineLevel="0" collapsed="false">
      <c r="A67" s="40" t="s">
        <v>301</v>
      </c>
      <c r="B67" s="40" t="s">
        <v>301</v>
      </c>
      <c r="C67" s="40" t="s">
        <v>118</v>
      </c>
      <c r="D67" s="41" t="n">
        <v>46224</v>
      </c>
      <c r="E67" s="40" t="s">
        <v>15</v>
      </c>
      <c r="F67" s="40" t="s">
        <v>36</v>
      </c>
      <c r="G67" s="42" t="s">
        <v>294</v>
      </c>
      <c r="H67" s="40" t="s">
        <v>150</v>
      </c>
      <c r="I67" s="40" t="s">
        <v>55</v>
      </c>
      <c r="J67" s="40" t="s">
        <v>29</v>
      </c>
      <c r="K67" s="40" t="s">
        <v>57</v>
      </c>
      <c r="L67" s="42" t="s">
        <v>302</v>
      </c>
      <c r="M67" s="43" t="n">
        <v>27.617977527</v>
      </c>
      <c r="N67" s="44" t="n">
        <v>2458000</v>
      </c>
      <c r="O67" s="45" t="n">
        <v>89000.0000035122</v>
      </c>
      <c r="P67" s="40" t="s">
        <v>296</v>
      </c>
      <c r="Q67" s="40" t="s">
        <v>303</v>
      </c>
      <c r="R67" s="42" t="s">
        <v>137</v>
      </c>
      <c r="S67" s="40" t="n">
        <v>0</v>
      </c>
      <c r="T67" s="40" t="n">
        <v>0</v>
      </c>
      <c r="U67" s="0" t="n">
        <f aca="false">IF(AND(OR('Daily Profitability'!$E$3="All",ISNUMBER(SEARCH('Daily Profitability'!$E$3,F67))),OR('Daily Profitability'!$H$3="All",I67='Daily Profitability'!$H$3),OR('Daily Profitability'!$K$3="All",J67='Daily Profitability'!$K$3),OR('Daily Profitability'!$N$3="All",K67='Daily Profitability'!$N$3)),1,0)</f>
        <v>0</v>
      </c>
    </row>
    <row r="68" customFormat="false" ht="15" hidden="false" customHeight="false" outlineLevel="0" collapsed="false">
      <c r="A68" s="40" t="s">
        <v>304</v>
      </c>
      <c r="B68" s="40" t="s">
        <v>304</v>
      </c>
      <c r="C68" s="40" t="s">
        <v>126</v>
      </c>
      <c r="D68" s="41" t="n">
        <v>46224</v>
      </c>
      <c r="E68" s="40" t="s">
        <v>15</v>
      </c>
      <c r="F68" s="40" t="s">
        <v>36</v>
      </c>
      <c r="G68" s="42" t="s">
        <v>294</v>
      </c>
      <c r="H68" s="40" t="s">
        <v>228</v>
      </c>
      <c r="I68" s="40" t="s">
        <v>39</v>
      </c>
      <c r="J68" s="40" t="s">
        <v>40</v>
      </c>
      <c r="K68" s="40" t="s">
        <v>84</v>
      </c>
      <c r="L68" s="42" t="s">
        <v>305</v>
      </c>
      <c r="M68" s="43" t="n">
        <v>113</v>
      </c>
      <c r="N68" s="44" t="n">
        <v>0</v>
      </c>
      <c r="O68" s="45"/>
      <c r="P68" s="40" t="s">
        <v>296</v>
      </c>
      <c r="Q68" s="40" t="s">
        <v>306</v>
      </c>
      <c r="R68" s="42" t="s">
        <v>137</v>
      </c>
      <c r="S68" s="40" t="n">
        <v>0</v>
      </c>
      <c r="T68" s="40" t="n">
        <v>0</v>
      </c>
      <c r="U68" s="0" t="n">
        <f aca="false">IF(AND(OR('Daily Profitability'!$E$3="All",ISNUMBER(SEARCH('Daily Profitability'!$E$3,F68))),OR('Daily Profitability'!$H$3="All",I68='Daily Profitability'!$H$3),OR('Daily Profitability'!$K$3="All",J68='Daily Profitability'!$K$3),OR('Daily Profitability'!$N$3="All",K68='Daily Profitability'!$N$3)),1,0)</f>
        <v>0</v>
      </c>
    </row>
    <row r="69" customFormat="false" ht="15" hidden="false" customHeight="false" outlineLevel="0" collapsed="false">
      <c r="A69" s="40" t="s">
        <v>307</v>
      </c>
      <c r="B69" s="40" t="s">
        <v>307</v>
      </c>
      <c r="C69" s="40" t="s">
        <v>118</v>
      </c>
      <c r="D69" s="41" t="n">
        <v>46224</v>
      </c>
      <c r="E69" s="40" t="s">
        <v>15</v>
      </c>
      <c r="F69" s="40" t="s">
        <v>36</v>
      </c>
      <c r="G69" s="42" t="s">
        <v>294</v>
      </c>
      <c r="H69" s="40" t="s">
        <v>228</v>
      </c>
      <c r="I69" s="40" t="s">
        <v>39</v>
      </c>
      <c r="J69" s="40" t="s">
        <v>40</v>
      </c>
      <c r="K69" s="40" t="s">
        <v>30</v>
      </c>
      <c r="L69" s="42" t="s">
        <v>308</v>
      </c>
      <c r="M69" s="43" t="n">
        <v>139</v>
      </c>
      <c r="N69" s="44" t="n">
        <v>0</v>
      </c>
      <c r="O69" s="45"/>
      <c r="P69" s="40" t="s">
        <v>296</v>
      </c>
      <c r="Q69" s="40" t="s">
        <v>243</v>
      </c>
      <c r="R69" s="42" t="s">
        <v>137</v>
      </c>
      <c r="S69" s="40" t="n">
        <v>0</v>
      </c>
      <c r="T69" s="40" t="n">
        <v>0</v>
      </c>
      <c r="U69" s="0" t="n">
        <f aca="false">IF(AND(OR('Daily Profitability'!$E$3="All",ISNUMBER(SEARCH('Daily Profitability'!$E$3,F69))),OR('Daily Profitability'!$H$3="All",I69='Daily Profitability'!$H$3),OR('Daily Profitability'!$K$3="All",J69='Daily Profitability'!$K$3),OR('Daily Profitability'!$N$3="All",K69='Daily Profitability'!$N$3)),1,0)</f>
        <v>0</v>
      </c>
    </row>
    <row r="70" customFormat="false" ht="23.85" hidden="false" customHeight="false" outlineLevel="0" collapsed="false">
      <c r="A70" s="40" t="s">
        <v>309</v>
      </c>
      <c r="B70" s="40" t="s">
        <v>309</v>
      </c>
      <c r="C70" s="40" t="s">
        <v>126</v>
      </c>
      <c r="D70" s="41" t="n">
        <v>46224</v>
      </c>
      <c r="E70" s="40" t="s">
        <v>15</v>
      </c>
      <c r="F70" s="40" t="s">
        <v>36</v>
      </c>
      <c r="G70" s="42" t="s">
        <v>294</v>
      </c>
      <c r="H70" s="40" t="s">
        <v>202</v>
      </c>
      <c r="I70" s="40" t="s">
        <v>28</v>
      </c>
      <c r="J70" s="40" t="s">
        <v>58</v>
      </c>
      <c r="K70" s="40" t="s">
        <v>38</v>
      </c>
      <c r="L70" s="42" t="s">
        <v>310</v>
      </c>
      <c r="M70" s="43" t="n">
        <v>86</v>
      </c>
      <c r="N70" s="44" t="n">
        <v>0</v>
      </c>
      <c r="O70" s="45"/>
      <c r="P70" s="40" t="s">
        <v>296</v>
      </c>
      <c r="Q70" s="40" t="s">
        <v>226</v>
      </c>
      <c r="R70" s="42" t="s">
        <v>174</v>
      </c>
      <c r="S70" s="40" t="n">
        <v>0</v>
      </c>
      <c r="T70" s="40" t="n">
        <v>0</v>
      </c>
      <c r="U70" s="0" t="n">
        <f aca="false">IF(AND(OR('Daily Profitability'!$E$3="All",ISNUMBER(SEARCH('Daily Profitability'!$E$3,F70))),OR('Daily Profitability'!$H$3="All",I70='Daily Profitability'!$H$3),OR('Daily Profitability'!$K$3="All",J70='Daily Profitability'!$K$3),OR('Daily Profitability'!$N$3="All",K70='Daily Profitability'!$N$3)),1,0)</f>
        <v>0</v>
      </c>
    </row>
    <row r="71" customFormat="false" ht="15" hidden="false" customHeight="false" outlineLevel="0" collapsed="false">
      <c r="A71" s="40" t="s">
        <v>311</v>
      </c>
      <c r="B71" s="40" t="s">
        <v>311</v>
      </c>
      <c r="C71" s="40" t="s">
        <v>126</v>
      </c>
      <c r="D71" s="41" t="n">
        <v>46226</v>
      </c>
      <c r="E71" s="40" t="s">
        <v>15</v>
      </c>
      <c r="F71" s="40" t="s">
        <v>38</v>
      </c>
      <c r="G71" s="42" t="s">
        <v>176</v>
      </c>
      <c r="H71" s="40" t="s">
        <v>139</v>
      </c>
      <c r="I71" s="40" t="s">
        <v>11</v>
      </c>
      <c r="J71" s="40" t="s">
        <v>11</v>
      </c>
      <c r="K71" s="40" t="s">
        <v>35</v>
      </c>
      <c r="L71" s="42" t="s">
        <v>312</v>
      </c>
      <c r="M71" s="43" t="n">
        <v>93.51</v>
      </c>
      <c r="N71" s="44" t="n">
        <v>0</v>
      </c>
      <c r="O71" s="45"/>
      <c r="P71" s="40" t="s">
        <v>313</v>
      </c>
      <c r="Q71" s="40" t="s">
        <v>141</v>
      </c>
      <c r="R71" s="42" t="s">
        <v>137</v>
      </c>
      <c r="S71" s="40" t="n">
        <v>0</v>
      </c>
      <c r="T71" s="40" t="n">
        <v>0</v>
      </c>
      <c r="U71" s="0" t="n">
        <f aca="false">IF(AND(OR('Daily Profitability'!$E$3="All",ISNUMBER(SEARCH('Daily Profitability'!$E$3,F71))),OR('Daily Profitability'!$H$3="All",I71='Daily Profitability'!$H$3),OR('Daily Profitability'!$K$3="All",J71='Daily Profitability'!$K$3),OR('Daily Profitability'!$N$3="All",K71='Daily Profitability'!$N$3)),1,0)</f>
        <v>1</v>
      </c>
    </row>
    <row r="72" customFormat="false" ht="15" hidden="false" customHeight="false" outlineLevel="0" collapsed="false">
      <c r="A72" s="40" t="s">
        <v>314</v>
      </c>
      <c r="B72" s="40" t="s">
        <v>314</v>
      </c>
      <c r="C72" s="40" t="s">
        <v>126</v>
      </c>
      <c r="D72" s="41" t="n">
        <v>46226</v>
      </c>
      <c r="E72" s="40" t="s">
        <v>15</v>
      </c>
      <c r="F72" s="40" t="s">
        <v>38</v>
      </c>
      <c r="G72" s="42" t="s">
        <v>176</v>
      </c>
      <c r="H72" s="40" t="s">
        <v>315</v>
      </c>
      <c r="I72" s="40" t="s">
        <v>33</v>
      </c>
      <c r="J72" s="40" t="s">
        <v>49</v>
      </c>
      <c r="K72" s="40" t="s">
        <v>73</v>
      </c>
      <c r="L72" s="42" t="s">
        <v>316</v>
      </c>
      <c r="M72" s="43" t="n">
        <v>162</v>
      </c>
      <c r="N72" s="44" t="n">
        <v>0</v>
      </c>
      <c r="O72" s="45"/>
      <c r="P72" s="40" t="s">
        <v>313</v>
      </c>
      <c r="Q72" s="40" t="s">
        <v>214</v>
      </c>
      <c r="R72" s="42" t="s">
        <v>137</v>
      </c>
      <c r="S72" s="40" t="n">
        <v>0</v>
      </c>
      <c r="T72" s="40" t="n">
        <v>0</v>
      </c>
      <c r="U72" s="0" t="n">
        <f aca="false">IF(AND(OR('Daily Profitability'!$E$3="All",ISNUMBER(SEARCH('Daily Profitability'!$E$3,F72))),OR('Daily Profitability'!$H$3="All",I72='Daily Profitability'!$H$3),OR('Daily Profitability'!$K$3="All",J72='Daily Profitability'!$K$3),OR('Daily Profitability'!$N$3="All",K72='Daily Profitability'!$N$3)),1,0)</f>
        <v>0</v>
      </c>
    </row>
    <row r="73" customFormat="false" ht="15" hidden="false" customHeight="false" outlineLevel="0" collapsed="false">
      <c r="A73" s="40" t="s">
        <v>317</v>
      </c>
      <c r="B73" s="40" t="s">
        <v>317</v>
      </c>
      <c r="C73" s="40" t="s">
        <v>126</v>
      </c>
      <c r="D73" s="41" t="n">
        <v>46227</v>
      </c>
      <c r="E73" s="40" t="s">
        <v>15</v>
      </c>
      <c r="F73" s="40" t="s">
        <v>38</v>
      </c>
      <c r="G73" s="42" t="s">
        <v>176</v>
      </c>
      <c r="H73" s="40" t="s">
        <v>139</v>
      </c>
      <c r="I73" s="40" t="s">
        <v>11</v>
      </c>
      <c r="J73" s="40" t="s">
        <v>11</v>
      </c>
      <c r="K73" s="40" t="s">
        <v>82</v>
      </c>
      <c r="L73" s="42" t="s">
        <v>277</v>
      </c>
      <c r="M73" s="43" t="n">
        <v>5.617977528</v>
      </c>
      <c r="N73" s="44" t="n">
        <v>500000</v>
      </c>
      <c r="O73" s="45" t="n">
        <v>89000.000001424</v>
      </c>
      <c r="P73" s="40" t="s">
        <v>318</v>
      </c>
      <c r="Q73" s="40" t="s">
        <v>171</v>
      </c>
      <c r="R73" s="42" t="s">
        <v>137</v>
      </c>
      <c r="S73" s="40" t="n">
        <v>0</v>
      </c>
      <c r="T73" s="40" t="n">
        <v>0</v>
      </c>
      <c r="U73" s="0" t="n">
        <f aca="false">IF(AND(OR('Daily Profitability'!$E$3="All",ISNUMBER(SEARCH('Daily Profitability'!$E$3,F73))),OR('Daily Profitability'!$H$3="All",I73='Daily Profitability'!$H$3),OR('Daily Profitability'!$K$3="All",J73='Daily Profitability'!$K$3),OR('Daily Profitability'!$N$3="All",K73='Daily Profitability'!$N$3)),1,0)</f>
        <v>1</v>
      </c>
    </row>
    <row r="74" customFormat="false" ht="15" hidden="false" customHeight="false" outlineLevel="0" collapsed="false">
      <c r="A74" s="40" t="s">
        <v>319</v>
      </c>
      <c r="B74" s="40" t="s">
        <v>319</v>
      </c>
      <c r="C74" s="40" t="s">
        <v>118</v>
      </c>
      <c r="D74" s="41" t="n">
        <v>46227</v>
      </c>
      <c r="E74" s="40" t="s">
        <v>15</v>
      </c>
      <c r="F74" s="40" t="s">
        <v>38</v>
      </c>
      <c r="G74" s="42" t="s">
        <v>176</v>
      </c>
      <c r="H74" s="40" t="s">
        <v>139</v>
      </c>
      <c r="I74" s="40" t="s">
        <v>11</v>
      </c>
      <c r="J74" s="40" t="s">
        <v>11</v>
      </c>
      <c r="K74" s="40" t="s">
        <v>80</v>
      </c>
      <c r="L74" s="42" t="s">
        <v>320</v>
      </c>
      <c r="M74" s="43" t="n">
        <v>8.876404494</v>
      </c>
      <c r="N74" s="44" t="n">
        <v>790000</v>
      </c>
      <c r="O74" s="45" t="n">
        <v>89000.0000038304</v>
      </c>
      <c r="P74" s="40" t="s">
        <v>318</v>
      </c>
      <c r="Q74" s="40" t="s">
        <v>141</v>
      </c>
      <c r="R74" s="42" t="s">
        <v>137</v>
      </c>
      <c r="S74" s="40" t="n">
        <v>0</v>
      </c>
      <c r="T74" s="40" t="n">
        <v>0</v>
      </c>
      <c r="U74" s="0" t="n">
        <f aca="false">IF(AND(OR('Daily Profitability'!$E$3="All",ISNUMBER(SEARCH('Daily Profitability'!$E$3,F74))),OR('Daily Profitability'!$H$3="All",I74='Daily Profitability'!$H$3),OR('Daily Profitability'!$K$3="All",J74='Daily Profitability'!$K$3),OR('Daily Profitability'!$N$3="All",K74='Daily Profitability'!$N$3)),1,0)</f>
        <v>1</v>
      </c>
    </row>
    <row r="75" customFormat="false" ht="15" hidden="false" customHeight="false" outlineLevel="0" collapsed="false">
      <c r="A75" s="40" t="s">
        <v>321</v>
      </c>
      <c r="B75" s="40" t="s">
        <v>321</v>
      </c>
      <c r="C75" s="40" t="s">
        <v>118</v>
      </c>
      <c r="D75" s="41" t="n">
        <v>46227</v>
      </c>
      <c r="E75" s="40" t="s">
        <v>15</v>
      </c>
      <c r="F75" s="40" t="s">
        <v>38</v>
      </c>
      <c r="G75" s="42" t="s">
        <v>176</v>
      </c>
      <c r="H75" s="40" t="s">
        <v>139</v>
      </c>
      <c r="I75" s="40" t="s">
        <v>11</v>
      </c>
      <c r="J75" s="40" t="s">
        <v>11</v>
      </c>
      <c r="K75" s="40" t="s">
        <v>78</v>
      </c>
      <c r="L75" s="42" t="s">
        <v>322</v>
      </c>
      <c r="M75" s="43" t="n">
        <v>195</v>
      </c>
      <c r="N75" s="44" t="n">
        <v>0</v>
      </c>
      <c r="O75" s="45"/>
      <c r="P75" s="40" t="s">
        <v>318</v>
      </c>
      <c r="Q75" s="40" t="s">
        <v>144</v>
      </c>
      <c r="R75" s="42" t="s">
        <v>137</v>
      </c>
      <c r="S75" s="40" t="n">
        <v>0</v>
      </c>
      <c r="T75" s="40" t="n">
        <v>0</v>
      </c>
      <c r="U75" s="0" t="n">
        <f aca="false">IF(AND(OR('Daily Profitability'!$E$3="All",ISNUMBER(SEARCH('Daily Profitability'!$E$3,F75))),OR('Daily Profitability'!$H$3="All",I75='Daily Profitability'!$H$3),OR('Daily Profitability'!$K$3="All",J75='Daily Profitability'!$K$3),OR('Daily Profitability'!$N$3="All",K75='Daily Profitability'!$N$3)),1,0)</f>
        <v>1</v>
      </c>
    </row>
    <row r="76" customFormat="false" ht="15" hidden="false" customHeight="false" outlineLevel="0" collapsed="false">
      <c r="A76" s="40" t="s">
        <v>323</v>
      </c>
      <c r="B76" s="40" t="s">
        <v>323</v>
      </c>
      <c r="C76" s="40" t="s">
        <v>118</v>
      </c>
      <c r="D76" s="41" t="n">
        <v>46227</v>
      </c>
      <c r="E76" s="40" t="s">
        <v>15</v>
      </c>
      <c r="F76" s="40" t="s">
        <v>38</v>
      </c>
      <c r="G76" s="42" t="s">
        <v>176</v>
      </c>
      <c r="H76" s="40" t="s">
        <v>139</v>
      </c>
      <c r="I76" s="40" t="s">
        <v>11</v>
      </c>
      <c r="J76" s="40" t="s">
        <v>11</v>
      </c>
      <c r="K76" s="40" t="s">
        <v>35</v>
      </c>
      <c r="L76" s="42" t="s">
        <v>324</v>
      </c>
      <c r="M76" s="43" t="n">
        <v>93.21</v>
      </c>
      <c r="N76" s="44" t="n">
        <v>0</v>
      </c>
      <c r="O76" s="45"/>
      <c r="P76" s="40" t="s">
        <v>318</v>
      </c>
      <c r="Q76" s="40" t="s">
        <v>214</v>
      </c>
      <c r="R76" s="42" t="s">
        <v>137</v>
      </c>
      <c r="S76" s="40" t="n">
        <v>0</v>
      </c>
      <c r="T76" s="40" t="n">
        <v>0</v>
      </c>
      <c r="U76" s="0" t="n">
        <f aca="false">IF(AND(OR('Daily Profitability'!$E$3="All",ISNUMBER(SEARCH('Daily Profitability'!$E$3,F76))),OR('Daily Profitability'!$H$3="All",I76='Daily Profitability'!$H$3),OR('Daily Profitability'!$K$3="All",J76='Daily Profitability'!$K$3),OR('Daily Profitability'!$N$3="All",K76='Daily Profitability'!$N$3)),1,0)</f>
        <v>1</v>
      </c>
    </row>
    <row r="77" customFormat="false" ht="15" hidden="false" customHeight="false" outlineLevel="0" collapsed="false">
      <c r="A77" s="40" t="s">
        <v>325</v>
      </c>
      <c r="B77" s="40" t="s">
        <v>325</v>
      </c>
      <c r="C77" s="40" t="s">
        <v>118</v>
      </c>
      <c r="D77" s="41" t="n">
        <v>46227</v>
      </c>
      <c r="E77" s="40" t="s">
        <v>15</v>
      </c>
      <c r="F77" s="40" t="s">
        <v>38</v>
      </c>
      <c r="G77" s="42" t="s">
        <v>176</v>
      </c>
      <c r="H77" s="40" t="s">
        <v>139</v>
      </c>
      <c r="I77" s="40" t="s">
        <v>11</v>
      </c>
      <c r="J77" s="40" t="s">
        <v>11</v>
      </c>
      <c r="K77" s="40" t="s">
        <v>77</v>
      </c>
      <c r="L77" s="42" t="s">
        <v>326</v>
      </c>
      <c r="M77" s="43" t="n">
        <v>46.23</v>
      </c>
      <c r="N77" s="44" t="n">
        <v>0</v>
      </c>
      <c r="O77" s="45"/>
      <c r="P77" s="40" t="s">
        <v>318</v>
      </c>
      <c r="Q77" s="40" t="s">
        <v>147</v>
      </c>
      <c r="R77" s="42" t="s">
        <v>137</v>
      </c>
      <c r="S77" s="40" t="n">
        <v>0</v>
      </c>
      <c r="T77" s="40" t="n">
        <v>0</v>
      </c>
      <c r="U77" s="0" t="n">
        <f aca="false">IF(AND(OR('Daily Profitability'!$E$3="All",ISNUMBER(SEARCH('Daily Profitability'!$E$3,F77))),OR('Daily Profitability'!$H$3="All",I77='Daily Profitability'!$H$3),OR('Daily Profitability'!$K$3="All",J77='Daily Profitability'!$K$3),OR('Daily Profitability'!$N$3="All",K77='Daily Profitability'!$N$3)),1,0)</f>
        <v>1</v>
      </c>
    </row>
    <row r="78" customFormat="false" ht="23.85" hidden="false" customHeight="false" outlineLevel="0" collapsed="false">
      <c r="A78" s="40" t="s">
        <v>327</v>
      </c>
      <c r="B78" s="40" t="s">
        <v>327</v>
      </c>
      <c r="C78" s="40" t="s">
        <v>118</v>
      </c>
      <c r="D78" s="41" t="n">
        <v>46227</v>
      </c>
      <c r="E78" s="40" t="s">
        <v>15</v>
      </c>
      <c r="F78" s="40" t="s">
        <v>38</v>
      </c>
      <c r="G78" s="42" t="s">
        <v>176</v>
      </c>
      <c r="H78" s="40" t="s">
        <v>150</v>
      </c>
      <c r="I78" s="40" t="s">
        <v>55</v>
      </c>
      <c r="J78" s="40" t="s">
        <v>29</v>
      </c>
      <c r="K78" s="40" t="s">
        <v>79</v>
      </c>
      <c r="L78" s="42" t="s">
        <v>328</v>
      </c>
      <c r="M78" s="43" t="n">
        <v>47.4</v>
      </c>
      <c r="N78" s="44" t="n">
        <v>0</v>
      </c>
      <c r="O78" s="45"/>
      <c r="P78" s="40" t="s">
        <v>318</v>
      </c>
      <c r="Q78" s="40" t="s">
        <v>329</v>
      </c>
      <c r="R78" s="42" t="s">
        <v>137</v>
      </c>
      <c r="S78" s="40" t="n">
        <v>0</v>
      </c>
      <c r="T78" s="40" t="n">
        <v>0</v>
      </c>
      <c r="U78" s="0" t="n">
        <f aca="false">IF(AND(OR('Daily Profitability'!$E$3="All",ISNUMBER(SEARCH('Daily Profitability'!$E$3,F78))),OR('Daily Profitability'!$H$3="All",I78='Daily Profitability'!$H$3),OR('Daily Profitability'!$K$3="All",J78='Daily Profitability'!$K$3),OR('Daily Profitability'!$N$3="All",K78='Daily Profitability'!$N$3)),1,0)</f>
        <v>0</v>
      </c>
    </row>
    <row r="79" customFormat="false" ht="15" hidden="false" customHeight="false" outlineLevel="0" collapsed="false">
      <c r="A79" s="40" t="s">
        <v>330</v>
      </c>
      <c r="B79" s="40" t="s">
        <v>330</v>
      </c>
      <c r="C79" s="40" t="s">
        <v>118</v>
      </c>
      <c r="D79" s="41" t="n">
        <v>46227</v>
      </c>
      <c r="E79" s="40" t="s">
        <v>15</v>
      </c>
      <c r="F79" s="40" t="s">
        <v>38</v>
      </c>
      <c r="G79" s="42" t="s">
        <v>176</v>
      </c>
      <c r="H79" s="40" t="s">
        <v>150</v>
      </c>
      <c r="I79" s="40" t="s">
        <v>55</v>
      </c>
      <c r="J79" s="40" t="s">
        <v>29</v>
      </c>
      <c r="K79" s="40" t="s">
        <v>57</v>
      </c>
      <c r="L79" s="42" t="s">
        <v>44</v>
      </c>
      <c r="M79" s="43" t="n">
        <v>18</v>
      </c>
      <c r="N79" s="44" t="n">
        <v>0</v>
      </c>
      <c r="O79" s="45"/>
      <c r="P79" s="40" t="s">
        <v>318</v>
      </c>
      <c r="Q79" s="40" t="s">
        <v>243</v>
      </c>
      <c r="R79" s="42" t="s">
        <v>137</v>
      </c>
      <c r="S79" s="40" t="n">
        <v>0</v>
      </c>
      <c r="T79" s="40" t="n">
        <v>0</v>
      </c>
      <c r="U79" s="0" t="n">
        <f aca="false">IF(AND(OR('Daily Profitability'!$E$3="All",ISNUMBER(SEARCH('Daily Profitability'!$E$3,F79))),OR('Daily Profitability'!$H$3="All",I79='Daily Profitability'!$H$3),OR('Daily Profitability'!$K$3="All",J79='Daily Profitability'!$K$3),OR('Daily Profitability'!$N$3="All",K79='Daily Profitability'!$N$3)),1,0)</f>
        <v>0</v>
      </c>
    </row>
    <row r="80" customFormat="false" ht="15" hidden="false" customHeight="false" outlineLevel="0" collapsed="false">
      <c r="A80" s="40" t="s">
        <v>331</v>
      </c>
      <c r="B80" s="40" t="s">
        <v>331</v>
      </c>
      <c r="C80" s="40" t="s">
        <v>126</v>
      </c>
      <c r="D80" s="41" t="n">
        <v>46228</v>
      </c>
      <c r="E80" s="40" t="s">
        <v>15</v>
      </c>
      <c r="F80" s="40" t="s">
        <v>38</v>
      </c>
      <c r="G80" s="42" t="s">
        <v>176</v>
      </c>
      <c r="H80" s="40" t="s">
        <v>139</v>
      </c>
      <c r="I80" s="40" t="s">
        <v>11</v>
      </c>
      <c r="J80" s="40" t="s">
        <v>11</v>
      </c>
      <c r="K80" s="40" t="s">
        <v>35</v>
      </c>
      <c r="L80" s="42" t="s">
        <v>332</v>
      </c>
      <c r="M80" s="43" t="n">
        <v>39</v>
      </c>
      <c r="N80" s="44" t="n">
        <v>0</v>
      </c>
      <c r="O80" s="45"/>
      <c r="P80" s="40" t="s">
        <v>333</v>
      </c>
      <c r="Q80" s="40" t="s">
        <v>169</v>
      </c>
      <c r="R80" s="42" t="s">
        <v>137</v>
      </c>
      <c r="S80" s="40" t="n">
        <v>0</v>
      </c>
      <c r="T80" s="40" t="n">
        <v>0</v>
      </c>
      <c r="U80" s="0" t="n">
        <f aca="false">IF(AND(OR('Daily Profitability'!$E$3="All",ISNUMBER(SEARCH('Daily Profitability'!$E$3,F80))),OR('Daily Profitability'!$H$3="All",I80='Daily Profitability'!$H$3),OR('Daily Profitability'!$K$3="All",J80='Daily Profitability'!$K$3),OR('Daily Profitability'!$N$3="All",K80='Daily Profitability'!$N$3)),1,0)</f>
        <v>1</v>
      </c>
    </row>
    <row r="81" customFormat="false" ht="23.85" hidden="false" customHeight="false" outlineLevel="0" collapsed="false">
      <c r="A81" s="40" t="s">
        <v>334</v>
      </c>
      <c r="B81" s="40" t="s">
        <v>334</v>
      </c>
      <c r="C81" s="40" t="s">
        <v>118</v>
      </c>
      <c r="D81" s="41" t="n">
        <v>46228</v>
      </c>
      <c r="E81" s="40" t="s">
        <v>15</v>
      </c>
      <c r="F81" s="40" t="s">
        <v>16</v>
      </c>
      <c r="G81" s="42" t="s">
        <v>335</v>
      </c>
      <c r="H81" s="40" t="s">
        <v>139</v>
      </c>
      <c r="I81" s="40" t="s">
        <v>11</v>
      </c>
      <c r="J81" s="40" t="s">
        <v>11</v>
      </c>
      <c r="K81" s="40" t="s">
        <v>86</v>
      </c>
      <c r="L81" s="42" t="s">
        <v>336</v>
      </c>
      <c r="M81" s="43" t="n">
        <v>160</v>
      </c>
      <c r="N81" s="44" t="n">
        <v>0</v>
      </c>
      <c r="O81" s="45"/>
      <c r="P81" s="40" t="s">
        <v>333</v>
      </c>
      <c r="Q81" s="40" t="s">
        <v>136</v>
      </c>
      <c r="R81" s="42" t="s">
        <v>337</v>
      </c>
      <c r="S81" s="40" t="n">
        <v>0</v>
      </c>
      <c r="T81" s="40" t="n">
        <v>0</v>
      </c>
      <c r="U81" s="0" t="n">
        <f aca="false">IF(AND(OR('Daily Profitability'!$E$3="All",ISNUMBER(SEARCH('Daily Profitability'!$E$3,F81))),OR('Daily Profitability'!$H$3="All",I81='Daily Profitability'!$H$3),OR('Daily Profitability'!$K$3="All",J81='Daily Profitability'!$K$3),OR('Daily Profitability'!$N$3="All",K81='Daily Profitability'!$N$3)),1,0)</f>
        <v>1</v>
      </c>
    </row>
    <row r="82" customFormat="false" ht="15" hidden="false" customHeight="false" outlineLevel="0" collapsed="false">
      <c r="A82" s="40" t="s">
        <v>338</v>
      </c>
      <c r="B82" s="40" t="s">
        <v>338</v>
      </c>
      <c r="C82" s="40" t="s">
        <v>118</v>
      </c>
      <c r="D82" s="41" t="n">
        <v>46228</v>
      </c>
      <c r="E82" s="40" t="s">
        <v>15</v>
      </c>
      <c r="F82" s="40" t="s">
        <v>38</v>
      </c>
      <c r="G82" s="42" t="s">
        <v>176</v>
      </c>
      <c r="H82" s="40" t="s">
        <v>139</v>
      </c>
      <c r="I82" s="40" t="s">
        <v>11</v>
      </c>
      <c r="J82" s="40" t="s">
        <v>11</v>
      </c>
      <c r="K82" s="40" t="s">
        <v>82</v>
      </c>
      <c r="L82" s="42" t="s">
        <v>339</v>
      </c>
      <c r="M82" s="43" t="n">
        <v>41.9494382</v>
      </c>
      <c r="N82" s="44" t="n">
        <v>3600000</v>
      </c>
      <c r="O82" s="45" t="n">
        <v>85817.5974332834</v>
      </c>
      <c r="P82" s="40" t="s">
        <v>333</v>
      </c>
      <c r="Q82" s="40" t="s">
        <v>340</v>
      </c>
      <c r="R82" s="42" t="s">
        <v>137</v>
      </c>
      <c r="S82" s="40" t="n">
        <v>0</v>
      </c>
      <c r="T82" s="40" t="n">
        <v>0</v>
      </c>
      <c r="U82" s="0" t="n">
        <f aca="false">IF(AND(OR('Daily Profitability'!$E$3="All",ISNUMBER(SEARCH('Daily Profitability'!$E$3,F82))),OR('Daily Profitability'!$H$3="All",I82='Daily Profitability'!$H$3),OR('Daily Profitability'!$K$3="All",J82='Daily Profitability'!$K$3),OR('Daily Profitability'!$N$3="All",K82='Daily Profitability'!$N$3)),1,0)</f>
        <v>1</v>
      </c>
    </row>
    <row r="83" customFormat="false" ht="46.25" hidden="false" customHeight="false" outlineLevel="0" collapsed="false">
      <c r="A83" s="40" t="s">
        <v>341</v>
      </c>
      <c r="B83" s="40" t="s">
        <v>341</v>
      </c>
      <c r="C83" s="40" t="s">
        <v>118</v>
      </c>
      <c r="D83" s="41" t="n">
        <v>46228</v>
      </c>
      <c r="E83" s="40" t="s">
        <v>15</v>
      </c>
      <c r="F83" s="40" t="s">
        <v>38</v>
      </c>
      <c r="G83" s="42" t="s">
        <v>176</v>
      </c>
      <c r="H83" s="40" t="s">
        <v>202</v>
      </c>
      <c r="I83" s="40" t="s">
        <v>55</v>
      </c>
      <c r="J83" s="40" t="s">
        <v>29</v>
      </c>
      <c r="K83" s="40" t="s">
        <v>62</v>
      </c>
      <c r="L83" s="42" t="s">
        <v>342</v>
      </c>
      <c r="M83" s="43" t="n">
        <v>120.44</v>
      </c>
      <c r="N83" s="44" t="n">
        <v>9369299.9</v>
      </c>
      <c r="O83" s="45" t="n">
        <v>77792.2608767851</v>
      </c>
      <c r="P83" s="40" t="s">
        <v>333</v>
      </c>
      <c r="Q83" s="40" t="s">
        <v>343</v>
      </c>
      <c r="R83" s="42" t="s">
        <v>137</v>
      </c>
      <c r="S83" s="40" t="n">
        <v>0</v>
      </c>
      <c r="T83" s="40" t="n">
        <v>0</v>
      </c>
      <c r="U83" s="0" t="n">
        <f aca="false">IF(AND(OR('Daily Profitability'!$E$3="All",ISNUMBER(SEARCH('Daily Profitability'!$E$3,F83))),OR('Daily Profitability'!$H$3="All",I83='Daily Profitability'!$H$3),OR('Daily Profitability'!$K$3="All",J83='Daily Profitability'!$K$3),OR('Daily Profitability'!$N$3="All",K83='Daily Profitability'!$N$3)),1,0)</f>
        <v>0</v>
      </c>
    </row>
    <row r="84" customFormat="false" ht="15" hidden="false" customHeight="false" outlineLevel="0" collapsed="false">
      <c r="A84" s="40" t="s">
        <v>344</v>
      </c>
      <c r="B84" s="40" t="s">
        <v>344</v>
      </c>
      <c r="C84" s="40" t="s">
        <v>126</v>
      </c>
      <c r="D84" s="41" t="n">
        <v>46228</v>
      </c>
      <c r="E84" s="40" t="s">
        <v>15</v>
      </c>
      <c r="F84" s="40" t="s">
        <v>38</v>
      </c>
      <c r="G84" s="42" t="s">
        <v>176</v>
      </c>
      <c r="H84" s="40" t="s">
        <v>127</v>
      </c>
      <c r="I84" s="40" t="s">
        <v>52</v>
      </c>
      <c r="J84" s="40" t="s">
        <v>56</v>
      </c>
      <c r="K84" s="40" t="s">
        <v>81</v>
      </c>
      <c r="L84" s="42" t="s">
        <v>44</v>
      </c>
      <c r="M84" s="43" t="n">
        <v>28</v>
      </c>
      <c r="N84" s="44" t="n">
        <v>0</v>
      </c>
      <c r="O84" s="45"/>
      <c r="P84" s="40" t="s">
        <v>333</v>
      </c>
      <c r="Q84" s="40" t="s">
        <v>200</v>
      </c>
      <c r="R84" s="42" t="s">
        <v>137</v>
      </c>
      <c r="S84" s="40" t="n">
        <v>0</v>
      </c>
      <c r="T84" s="40" t="n">
        <v>0</v>
      </c>
      <c r="U84" s="0" t="n">
        <f aca="false">IF(AND(OR('Daily Profitability'!$E$3="All",ISNUMBER(SEARCH('Daily Profitability'!$E$3,F84))),OR('Daily Profitability'!$H$3="All",I84='Daily Profitability'!$H$3),OR('Daily Profitability'!$K$3="All",J84='Daily Profitability'!$K$3),OR('Daily Profitability'!$N$3="All",K84='Daily Profitability'!$N$3)),1,0)</f>
        <v>0</v>
      </c>
    </row>
    <row r="85" customFormat="false" ht="23.85" hidden="false" customHeight="false" outlineLevel="0" collapsed="false">
      <c r="A85" s="40" t="s">
        <v>345</v>
      </c>
      <c r="B85" s="40" t="s">
        <v>345</v>
      </c>
      <c r="C85" s="40" t="s">
        <v>118</v>
      </c>
      <c r="D85" s="41" t="n">
        <v>46228</v>
      </c>
      <c r="E85" s="40" t="s">
        <v>15</v>
      </c>
      <c r="F85" s="40" t="s">
        <v>38</v>
      </c>
      <c r="G85" s="42" t="s">
        <v>176</v>
      </c>
      <c r="H85" s="40"/>
      <c r="I85" s="40" t="s">
        <v>11</v>
      </c>
      <c r="J85" s="40" t="s">
        <v>11</v>
      </c>
      <c r="K85" s="40" t="s">
        <v>75</v>
      </c>
      <c r="L85" s="42" t="s">
        <v>134</v>
      </c>
      <c r="M85" s="43" t="n">
        <v>110.94</v>
      </c>
      <c r="N85" s="44" t="n">
        <v>0</v>
      </c>
      <c r="O85" s="45"/>
      <c r="P85" s="40" t="s">
        <v>333</v>
      </c>
      <c r="Q85" s="40" t="s">
        <v>346</v>
      </c>
      <c r="R85" s="42" t="s">
        <v>347</v>
      </c>
      <c r="S85" s="40" t="n">
        <v>0</v>
      </c>
      <c r="T85" s="40" t="n">
        <v>0</v>
      </c>
      <c r="U85" s="0" t="n">
        <f aca="false">IF(AND(OR('Daily Profitability'!$E$3="All",ISNUMBER(SEARCH('Daily Profitability'!$E$3,F85))),OR('Daily Profitability'!$H$3="All",I85='Daily Profitability'!$H$3),OR('Daily Profitability'!$K$3="All",J85='Daily Profitability'!$K$3),OR('Daily Profitability'!$N$3="All",K85='Daily Profitability'!$N$3)),1,0)</f>
        <v>1</v>
      </c>
    </row>
    <row r="86" customFormat="false" ht="15" hidden="false" customHeight="false" outlineLevel="0" collapsed="false">
      <c r="A86" s="40" t="s">
        <v>348</v>
      </c>
      <c r="B86" s="40" t="s">
        <v>348</v>
      </c>
      <c r="C86" s="40" t="s">
        <v>118</v>
      </c>
      <c r="D86" s="41" t="n">
        <v>46230</v>
      </c>
      <c r="E86" s="40" t="s">
        <v>15</v>
      </c>
      <c r="F86" s="40" t="s">
        <v>38</v>
      </c>
      <c r="G86" s="42" t="s">
        <v>176</v>
      </c>
      <c r="H86" s="40" t="s">
        <v>47</v>
      </c>
      <c r="I86" s="40" t="s">
        <v>55</v>
      </c>
      <c r="J86" s="40" t="s">
        <v>29</v>
      </c>
      <c r="K86" s="40" t="s">
        <v>62</v>
      </c>
      <c r="L86" s="42" t="s">
        <v>349</v>
      </c>
      <c r="M86" s="43" t="n">
        <v>25.96</v>
      </c>
      <c r="N86" s="44" t="n">
        <v>0</v>
      </c>
      <c r="O86" s="45"/>
      <c r="P86" s="40" t="s">
        <v>350</v>
      </c>
      <c r="Q86" s="40" t="s">
        <v>273</v>
      </c>
      <c r="R86" s="42" t="s">
        <v>137</v>
      </c>
      <c r="S86" s="40" t="n">
        <v>0</v>
      </c>
      <c r="T86" s="40" t="n">
        <v>0</v>
      </c>
      <c r="U86" s="0" t="n">
        <f aca="false">IF(AND(OR('Daily Profitability'!$E$3="All",ISNUMBER(SEARCH('Daily Profitability'!$E$3,F86))),OR('Daily Profitability'!$H$3="All",I86='Daily Profitability'!$H$3),OR('Daily Profitability'!$K$3="All",J86='Daily Profitability'!$K$3),OR('Daily Profitability'!$N$3="All",K86='Daily Profitability'!$N$3)),1,0)</f>
        <v>0</v>
      </c>
    </row>
    <row r="87" customFormat="false" ht="15" hidden="false" customHeight="false" outlineLevel="0" collapsed="false">
      <c r="A87" s="40" t="s">
        <v>351</v>
      </c>
      <c r="B87" s="40" t="s">
        <v>351</v>
      </c>
      <c r="C87" s="40" t="s">
        <v>118</v>
      </c>
      <c r="D87" s="41" t="n">
        <v>46230</v>
      </c>
      <c r="E87" s="40" t="s">
        <v>15</v>
      </c>
      <c r="F87" s="40" t="s">
        <v>38</v>
      </c>
      <c r="G87" s="42" t="s">
        <v>176</v>
      </c>
      <c r="H87" s="40" t="s">
        <v>47</v>
      </c>
      <c r="I87" s="40" t="s">
        <v>55</v>
      </c>
      <c r="J87" s="40" t="s">
        <v>29</v>
      </c>
      <c r="K87" s="40" t="s">
        <v>57</v>
      </c>
      <c r="L87" s="42" t="s">
        <v>352</v>
      </c>
      <c r="M87" s="43" t="n">
        <v>78.544</v>
      </c>
      <c r="N87" s="44" t="n">
        <v>0</v>
      </c>
      <c r="O87" s="45"/>
      <c r="P87" s="40" t="s">
        <v>350</v>
      </c>
      <c r="Q87" s="40" t="s">
        <v>141</v>
      </c>
      <c r="R87" s="42" t="s">
        <v>137</v>
      </c>
      <c r="S87" s="40" t="n">
        <v>0</v>
      </c>
      <c r="T87" s="40" t="n">
        <v>0</v>
      </c>
      <c r="U87" s="0" t="n">
        <f aca="false">IF(AND(OR('Daily Profitability'!$E$3="All",ISNUMBER(SEARCH('Daily Profitability'!$E$3,F87))),OR('Daily Profitability'!$H$3="All",I87='Daily Profitability'!$H$3),OR('Daily Profitability'!$K$3="All",J87='Daily Profitability'!$K$3),OR('Daily Profitability'!$N$3="All",K87='Daily Profitability'!$N$3)),1,0)</f>
        <v>0</v>
      </c>
    </row>
    <row r="88" customFormat="false" ht="15" hidden="false" customHeight="false" outlineLevel="0" collapsed="false">
      <c r="A88" s="40" t="s">
        <v>353</v>
      </c>
      <c r="B88" s="40" t="s">
        <v>353</v>
      </c>
      <c r="C88" s="40" t="s">
        <v>126</v>
      </c>
      <c r="D88" s="41" t="n">
        <v>46230</v>
      </c>
      <c r="E88" s="40" t="s">
        <v>15</v>
      </c>
      <c r="F88" s="40" t="s">
        <v>16</v>
      </c>
      <c r="G88" s="42" t="s">
        <v>16</v>
      </c>
      <c r="H88" s="40" t="s">
        <v>16</v>
      </c>
      <c r="I88" s="40" t="s">
        <v>11</v>
      </c>
      <c r="J88" s="40" t="s">
        <v>11</v>
      </c>
      <c r="K88" s="40" t="s">
        <v>75</v>
      </c>
      <c r="L88" s="42" t="s">
        <v>216</v>
      </c>
      <c r="M88" s="43" t="n">
        <v>74.84</v>
      </c>
      <c r="N88" s="44" t="n">
        <v>0</v>
      </c>
      <c r="O88" s="45"/>
      <c r="P88" s="40" t="s">
        <v>350</v>
      </c>
      <c r="Q88" s="40" t="s">
        <v>192</v>
      </c>
      <c r="R88" s="42" t="s">
        <v>137</v>
      </c>
      <c r="S88" s="40" t="n">
        <v>0</v>
      </c>
      <c r="T88" s="40" t="n">
        <v>0</v>
      </c>
      <c r="U88" s="0" t="n">
        <f aca="false">IF(AND(OR('Daily Profitability'!$E$3="All",ISNUMBER(SEARCH('Daily Profitability'!$E$3,F88))),OR('Daily Profitability'!$H$3="All",I88='Daily Profitability'!$H$3),OR('Daily Profitability'!$K$3="All",J88='Daily Profitability'!$K$3),OR('Daily Profitability'!$N$3="All",K88='Daily Profitability'!$N$3)),1,0)</f>
        <v>1</v>
      </c>
    </row>
    <row r="89" customFormat="false" ht="15" hidden="false" customHeight="false" outlineLevel="0" collapsed="false">
      <c r="A89" s="40" t="s">
        <v>354</v>
      </c>
      <c r="B89" s="40" t="s">
        <v>354</v>
      </c>
      <c r="C89" s="40" t="s">
        <v>126</v>
      </c>
      <c r="D89" s="41" t="n">
        <v>46230</v>
      </c>
      <c r="E89" s="40" t="s">
        <v>15</v>
      </c>
      <c r="F89" s="40" t="s">
        <v>38</v>
      </c>
      <c r="G89" s="42" t="s">
        <v>176</v>
      </c>
      <c r="H89" s="40" t="s">
        <v>139</v>
      </c>
      <c r="I89" s="40" t="s">
        <v>11</v>
      </c>
      <c r="J89" s="40" t="s">
        <v>11</v>
      </c>
      <c r="K89" s="40" t="s">
        <v>86</v>
      </c>
      <c r="L89" s="42" t="s">
        <v>355</v>
      </c>
      <c r="M89" s="43" t="n">
        <v>400</v>
      </c>
      <c r="N89" s="44" t="n">
        <v>0</v>
      </c>
      <c r="O89" s="45"/>
      <c r="P89" s="40" t="s">
        <v>350</v>
      </c>
      <c r="Q89" s="40" t="s">
        <v>306</v>
      </c>
      <c r="R89" s="42" t="s">
        <v>137</v>
      </c>
      <c r="S89" s="40" t="n">
        <v>0</v>
      </c>
      <c r="T89" s="40" t="n">
        <v>0</v>
      </c>
      <c r="U89" s="0" t="n">
        <f aca="false">IF(AND(OR('Daily Profitability'!$E$3="All",ISNUMBER(SEARCH('Daily Profitability'!$E$3,F89))),OR('Daily Profitability'!$H$3="All",I89='Daily Profitability'!$H$3),OR('Daily Profitability'!$K$3="All",J89='Daily Profitability'!$K$3),OR('Daily Profitability'!$N$3="All",K89='Daily Profitability'!$N$3)),1,0)</f>
        <v>1</v>
      </c>
    </row>
    <row r="90" customFormat="false" ht="15" hidden="false" customHeight="false" outlineLevel="0" collapsed="false">
      <c r="A90" s="40" t="s">
        <v>356</v>
      </c>
      <c r="B90" s="40" t="s">
        <v>356</v>
      </c>
      <c r="C90" s="40" t="s">
        <v>118</v>
      </c>
      <c r="D90" s="41" t="n">
        <v>46230</v>
      </c>
      <c r="E90" s="40" t="s">
        <v>15</v>
      </c>
      <c r="F90" s="40" t="s">
        <v>38</v>
      </c>
      <c r="G90" s="42" t="s">
        <v>176</v>
      </c>
      <c r="H90" s="40" t="s">
        <v>139</v>
      </c>
      <c r="I90" s="40" t="s">
        <v>11</v>
      </c>
      <c r="J90" s="40" t="s">
        <v>11</v>
      </c>
      <c r="K90" s="40" t="s">
        <v>64</v>
      </c>
      <c r="L90" s="42" t="s">
        <v>140</v>
      </c>
      <c r="M90" s="43" t="n">
        <v>41</v>
      </c>
      <c r="N90" s="44" t="n">
        <v>0</v>
      </c>
      <c r="O90" s="45"/>
      <c r="P90" s="40" t="s">
        <v>350</v>
      </c>
      <c r="Q90" s="40" t="s">
        <v>243</v>
      </c>
      <c r="R90" s="42" t="s">
        <v>137</v>
      </c>
      <c r="S90" s="40" t="n">
        <v>0</v>
      </c>
      <c r="T90" s="40" t="n">
        <v>0</v>
      </c>
      <c r="U90" s="0" t="n">
        <f aca="false">IF(AND(OR('Daily Profitability'!$E$3="All",ISNUMBER(SEARCH('Daily Profitability'!$E$3,F90))),OR('Daily Profitability'!$H$3="All",I90='Daily Profitability'!$H$3),OR('Daily Profitability'!$K$3="All",J90='Daily Profitability'!$K$3),OR('Daily Profitability'!$N$3="All",K90='Daily Profitability'!$N$3)),1,0)</f>
        <v>1</v>
      </c>
    </row>
    <row r="91" customFormat="false" ht="15" hidden="false" customHeight="false" outlineLevel="0" collapsed="false">
      <c r="A91" s="40" t="s">
        <v>357</v>
      </c>
      <c r="B91" s="40" t="s">
        <v>357</v>
      </c>
      <c r="C91" s="40" t="s">
        <v>118</v>
      </c>
      <c r="D91" s="41" t="n">
        <v>46230</v>
      </c>
      <c r="E91" s="40" t="s">
        <v>15</v>
      </c>
      <c r="F91" s="40" t="s">
        <v>38</v>
      </c>
      <c r="G91" s="42" t="s">
        <v>176</v>
      </c>
      <c r="H91" s="40" t="s">
        <v>139</v>
      </c>
      <c r="I91" s="40" t="s">
        <v>11</v>
      </c>
      <c r="J91" s="40" t="s">
        <v>11</v>
      </c>
      <c r="K91" s="40" t="s">
        <v>88</v>
      </c>
      <c r="L91" s="42" t="s">
        <v>358</v>
      </c>
      <c r="M91" s="43" t="n">
        <v>144.66</v>
      </c>
      <c r="N91" s="44" t="n">
        <v>0</v>
      </c>
      <c r="O91" s="45"/>
      <c r="P91" s="40" t="s">
        <v>350</v>
      </c>
      <c r="Q91" s="40" t="s">
        <v>359</v>
      </c>
      <c r="R91" s="42" t="s">
        <v>137</v>
      </c>
      <c r="S91" s="40" t="n">
        <v>0</v>
      </c>
      <c r="T91" s="40" t="n">
        <v>0</v>
      </c>
      <c r="U91" s="0" t="n">
        <f aca="false">IF(AND(OR('Daily Profitability'!$E$3="All",ISNUMBER(SEARCH('Daily Profitability'!$E$3,F91))),OR('Daily Profitability'!$H$3="All",I91='Daily Profitability'!$H$3),OR('Daily Profitability'!$K$3="All",J91='Daily Profitability'!$K$3),OR('Daily Profitability'!$N$3="All",K91='Daily Profitability'!$N$3)),1,0)</f>
        <v>1</v>
      </c>
    </row>
    <row r="92" customFormat="false" ht="15" hidden="false" customHeight="false" outlineLevel="0" collapsed="false">
      <c r="A92" s="40" t="s">
        <v>360</v>
      </c>
      <c r="B92" s="40" t="s">
        <v>360</v>
      </c>
      <c r="C92" s="40" t="s">
        <v>118</v>
      </c>
      <c r="D92" s="41" t="n">
        <v>46230</v>
      </c>
      <c r="E92" s="40" t="s">
        <v>15</v>
      </c>
      <c r="F92" s="40" t="s">
        <v>38</v>
      </c>
      <c r="G92" s="42" t="s">
        <v>176</v>
      </c>
      <c r="H92" s="40" t="s">
        <v>139</v>
      </c>
      <c r="I92" s="40" t="s">
        <v>11</v>
      </c>
      <c r="J92" s="40" t="s">
        <v>11</v>
      </c>
      <c r="K92" s="40" t="s">
        <v>78</v>
      </c>
      <c r="L92" s="42" t="s">
        <v>361</v>
      </c>
      <c r="M92" s="43" t="n">
        <v>288</v>
      </c>
      <c r="N92" s="44" t="n">
        <v>0</v>
      </c>
      <c r="O92" s="45"/>
      <c r="P92" s="40" t="s">
        <v>350</v>
      </c>
      <c r="Q92" s="40" t="s">
        <v>362</v>
      </c>
      <c r="R92" s="42" t="s">
        <v>137</v>
      </c>
      <c r="S92" s="40" t="n">
        <v>0</v>
      </c>
      <c r="T92" s="40" t="n">
        <v>0</v>
      </c>
      <c r="U92" s="0" t="n">
        <f aca="false">IF(AND(OR('Daily Profitability'!$E$3="All",ISNUMBER(SEARCH('Daily Profitability'!$E$3,F92))),OR('Daily Profitability'!$H$3="All",I92='Daily Profitability'!$H$3),OR('Daily Profitability'!$K$3="All",J92='Daily Profitability'!$K$3),OR('Daily Profitability'!$N$3="All",K92='Daily Profitability'!$N$3)),1,0)</f>
        <v>1</v>
      </c>
    </row>
    <row r="93" customFormat="false" ht="15" hidden="false" customHeight="false" outlineLevel="0" collapsed="false">
      <c r="A93" s="40" t="s">
        <v>363</v>
      </c>
      <c r="B93" s="40" t="s">
        <v>363</v>
      </c>
      <c r="C93" s="40" t="s">
        <v>126</v>
      </c>
      <c r="D93" s="41" t="n">
        <v>46232</v>
      </c>
      <c r="E93" s="40" t="s">
        <v>15</v>
      </c>
      <c r="F93" s="40" t="s">
        <v>16</v>
      </c>
      <c r="G93" s="42" t="s">
        <v>16</v>
      </c>
      <c r="H93" s="40" t="s">
        <v>139</v>
      </c>
      <c r="I93" s="40" t="s">
        <v>11</v>
      </c>
      <c r="J93" s="40" t="s">
        <v>11</v>
      </c>
      <c r="K93" s="40" t="s">
        <v>82</v>
      </c>
      <c r="L93" s="42" t="s">
        <v>199</v>
      </c>
      <c r="M93" s="43" t="n">
        <v>6.74</v>
      </c>
      <c r="N93" s="44" t="n">
        <v>0</v>
      </c>
      <c r="O93" s="45"/>
      <c r="P93" s="40" t="s">
        <v>364</v>
      </c>
      <c r="Q93" s="40" t="s">
        <v>136</v>
      </c>
      <c r="R93" s="42" t="s">
        <v>137</v>
      </c>
      <c r="S93" s="40" t="n">
        <v>0</v>
      </c>
      <c r="T93" s="40" t="n">
        <v>0</v>
      </c>
      <c r="U93" s="0" t="n">
        <f aca="false">IF(AND(OR('Daily Profitability'!$E$3="All",ISNUMBER(SEARCH('Daily Profitability'!$E$3,F93))),OR('Daily Profitability'!$H$3="All",I93='Daily Profitability'!$H$3),OR('Daily Profitability'!$K$3="All",J93='Daily Profitability'!$K$3),OR('Daily Profitability'!$N$3="All",K93='Daily Profitability'!$N$3)),1,0)</f>
        <v>1</v>
      </c>
    </row>
    <row r="94" customFormat="false" ht="15" hidden="false" customHeight="false" outlineLevel="0" collapsed="false">
      <c r="A94" s="40" t="s">
        <v>365</v>
      </c>
      <c r="B94" s="40" t="s">
        <v>365</v>
      </c>
      <c r="C94" s="40" t="s">
        <v>118</v>
      </c>
      <c r="D94" s="41" t="n">
        <v>46232</v>
      </c>
      <c r="E94" s="40" t="s">
        <v>15</v>
      </c>
      <c r="F94" s="40" t="s">
        <v>16</v>
      </c>
      <c r="G94" s="42" t="s">
        <v>16</v>
      </c>
      <c r="H94" s="40" t="s">
        <v>139</v>
      </c>
      <c r="I94" s="40" t="s">
        <v>11</v>
      </c>
      <c r="J94" s="40" t="s">
        <v>11</v>
      </c>
      <c r="K94" s="40" t="s">
        <v>35</v>
      </c>
      <c r="L94" s="42" t="s">
        <v>366</v>
      </c>
      <c r="M94" s="43" t="n">
        <v>75</v>
      </c>
      <c r="N94" s="44" t="n">
        <v>0</v>
      </c>
      <c r="O94" s="45"/>
      <c r="P94" s="40" t="s">
        <v>364</v>
      </c>
      <c r="Q94" s="40" t="s">
        <v>171</v>
      </c>
      <c r="R94" s="42" t="s">
        <v>137</v>
      </c>
      <c r="S94" s="40" t="n">
        <v>0</v>
      </c>
      <c r="T94" s="40" t="n">
        <v>0</v>
      </c>
      <c r="U94" s="0" t="n">
        <f aca="false">IF(AND(OR('Daily Profitability'!$E$3="All",ISNUMBER(SEARCH('Daily Profitability'!$E$3,F94))),OR('Daily Profitability'!$H$3="All",I94='Daily Profitability'!$H$3),OR('Daily Profitability'!$K$3="All",J94='Daily Profitability'!$K$3),OR('Daily Profitability'!$N$3="All",K94='Daily Profitability'!$N$3)),1,0)</f>
        <v>1</v>
      </c>
    </row>
    <row r="95" customFormat="false" ht="15" hidden="false" customHeight="false" outlineLevel="0" collapsed="false">
      <c r="A95" s="40" t="s">
        <v>367</v>
      </c>
      <c r="B95" s="40" t="s">
        <v>367</v>
      </c>
      <c r="C95" s="40" t="s">
        <v>118</v>
      </c>
      <c r="D95" s="41" t="n">
        <v>46232</v>
      </c>
      <c r="E95" s="40" t="s">
        <v>15</v>
      </c>
      <c r="F95" s="40" t="s">
        <v>16</v>
      </c>
      <c r="G95" s="42" t="s">
        <v>16</v>
      </c>
      <c r="H95" s="40" t="s">
        <v>139</v>
      </c>
      <c r="I95" s="40" t="s">
        <v>11</v>
      </c>
      <c r="J95" s="40" t="s">
        <v>11</v>
      </c>
      <c r="K95" s="40" t="s">
        <v>86</v>
      </c>
      <c r="L95" s="42" t="s">
        <v>368</v>
      </c>
      <c r="M95" s="43" t="n">
        <v>68</v>
      </c>
      <c r="N95" s="44" t="n">
        <v>0</v>
      </c>
      <c r="O95" s="45"/>
      <c r="P95" s="40" t="s">
        <v>364</v>
      </c>
      <c r="Q95" s="40" t="s">
        <v>141</v>
      </c>
      <c r="R95" s="42" t="s">
        <v>137</v>
      </c>
      <c r="S95" s="40" t="n">
        <v>0</v>
      </c>
      <c r="T95" s="40" t="n">
        <v>0</v>
      </c>
      <c r="U95" s="0" t="n">
        <f aca="false">IF(AND(OR('Daily Profitability'!$E$3="All",ISNUMBER(SEARCH('Daily Profitability'!$E$3,F95))),OR('Daily Profitability'!$H$3="All",I95='Daily Profitability'!$H$3),OR('Daily Profitability'!$K$3="All",J95='Daily Profitability'!$K$3),OR('Daily Profitability'!$N$3="All",K95='Daily Profitability'!$N$3)),1,0)</f>
        <v>1</v>
      </c>
    </row>
    <row r="96" customFormat="false" ht="15" hidden="false" customHeight="false" outlineLevel="0" collapsed="false">
      <c r="A96" s="40" t="s">
        <v>369</v>
      </c>
      <c r="B96" s="40" t="s">
        <v>369</v>
      </c>
      <c r="C96" s="40" t="s">
        <v>118</v>
      </c>
      <c r="D96" s="41" t="n">
        <v>46232</v>
      </c>
      <c r="E96" s="40" t="s">
        <v>15</v>
      </c>
      <c r="F96" s="40" t="s">
        <v>16</v>
      </c>
      <c r="G96" s="42" t="s">
        <v>16</v>
      </c>
      <c r="H96" s="40" t="s">
        <v>139</v>
      </c>
      <c r="I96" s="40" t="s">
        <v>11</v>
      </c>
      <c r="J96" s="40" t="s">
        <v>11</v>
      </c>
      <c r="K96" s="40" t="s">
        <v>78</v>
      </c>
      <c r="L96" s="42" t="s">
        <v>370</v>
      </c>
      <c r="M96" s="43" t="n">
        <v>104</v>
      </c>
      <c r="N96" s="44" t="n">
        <v>0</v>
      </c>
      <c r="O96" s="45"/>
      <c r="P96" s="40" t="s">
        <v>364</v>
      </c>
      <c r="Q96" s="40" t="s">
        <v>144</v>
      </c>
      <c r="R96" s="42" t="s">
        <v>137</v>
      </c>
      <c r="S96" s="40" t="n">
        <v>0</v>
      </c>
      <c r="T96" s="40" t="n">
        <v>0</v>
      </c>
      <c r="U96" s="0" t="n">
        <f aca="false">IF(AND(OR('Daily Profitability'!$E$3="All",ISNUMBER(SEARCH('Daily Profitability'!$E$3,F96))),OR('Daily Profitability'!$H$3="All",I96='Daily Profitability'!$H$3),OR('Daily Profitability'!$K$3="All",J96='Daily Profitability'!$K$3),OR('Daily Profitability'!$N$3="All",K96='Daily Profitability'!$N$3)),1,0)</f>
        <v>1</v>
      </c>
    </row>
    <row r="97" customFormat="false" ht="23.85" hidden="false" customHeight="false" outlineLevel="0" collapsed="false">
      <c r="A97" s="40" t="s">
        <v>371</v>
      </c>
      <c r="B97" s="40" t="s">
        <v>371</v>
      </c>
      <c r="C97" s="40" t="s">
        <v>118</v>
      </c>
      <c r="D97" s="41" t="n">
        <v>46234</v>
      </c>
      <c r="E97" s="40" t="s">
        <v>15</v>
      </c>
      <c r="F97" s="40" t="s">
        <v>38</v>
      </c>
      <c r="G97" s="42" t="s">
        <v>176</v>
      </c>
      <c r="H97" s="40" t="s">
        <v>139</v>
      </c>
      <c r="I97" s="40" t="s">
        <v>11</v>
      </c>
      <c r="J97" s="40" t="s">
        <v>11</v>
      </c>
      <c r="K97" s="40" t="s">
        <v>86</v>
      </c>
      <c r="L97" s="42" t="s">
        <v>372</v>
      </c>
      <c r="M97" s="43" t="n">
        <v>98.08</v>
      </c>
      <c r="N97" s="44" t="n">
        <v>0</v>
      </c>
      <c r="O97" s="45"/>
      <c r="P97" s="40" t="s">
        <v>373</v>
      </c>
      <c r="Q97" s="40" t="s">
        <v>273</v>
      </c>
      <c r="R97" s="42" t="s">
        <v>137</v>
      </c>
      <c r="S97" s="40" t="n">
        <v>0</v>
      </c>
      <c r="T97" s="40" t="n">
        <v>0</v>
      </c>
      <c r="U97" s="0" t="n">
        <f aca="false">IF(AND(OR('Daily Profitability'!$E$3="All",ISNUMBER(SEARCH('Daily Profitability'!$E$3,F97))),OR('Daily Profitability'!$H$3="All",I97='Daily Profitability'!$H$3),OR('Daily Profitability'!$K$3="All",J97='Daily Profitability'!$K$3),OR('Daily Profitability'!$N$3="All",K97='Daily Profitability'!$N$3)),1,0)</f>
        <v>1</v>
      </c>
    </row>
    <row r="98" customFormat="false" ht="15" hidden="false" customHeight="false" outlineLevel="0" collapsed="false">
      <c r="A98" s="40" t="s">
        <v>374</v>
      </c>
      <c r="B98" s="40" t="s">
        <v>374</v>
      </c>
      <c r="C98" s="40" t="s">
        <v>126</v>
      </c>
      <c r="D98" s="41" t="n">
        <v>46234</v>
      </c>
      <c r="E98" s="40" t="s">
        <v>15</v>
      </c>
      <c r="F98" s="40" t="s">
        <v>38</v>
      </c>
      <c r="G98" s="42" t="s">
        <v>176</v>
      </c>
      <c r="H98" s="40" t="s">
        <v>228</v>
      </c>
      <c r="I98" s="40" t="s">
        <v>39</v>
      </c>
      <c r="J98" s="40" t="s">
        <v>40</v>
      </c>
      <c r="K98" s="40" t="s">
        <v>19</v>
      </c>
      <c r="L98" s="42" t="s">
        <v>375</v>
      </c>
      <c r="M98" s="43" t="n">
        <v>56</v>
      </c>
      <c r="N98" s="44" t="n">
        <v>0</v>
      </c>
      <c r="O98" s="45"/>
      <c r="P98" s="40" t="s">
        <v>373</v>
      </c>
      <c r="Q98" s="40" t="s">
        <v>144</v>
      </c>
      <c r="R98" s="42" t="s">
        <v>137</v>
      </c>
      <c r="S98" s="40" t="n">
        <v>0</v>
      </c>
      <c r="T98" s="40" t="n">
        <v>0</v>
      </c>
      <c r="U98" s="0" t="n">
        <f aca="false">IF(AND(OR('Daily Profitability'!$E$3="All",ISNUMBER(SEARCH('Daily Profitability'!$E$3,F98))),OR('Daily Profitability'!$H$3="All",I98='Daily Profitability'!$H$3),OR('Daily Profitability'!$K$3="All",J98='Daily Profitability'!$K$3),OR('Daily Profitability'!$N$3="All",K98='Daily Profitability'!$N$3)),1,0)</f>
        <v>0</v>
      </c>
    </row>
    <row r="99" customFormat="false" ht="46.25" hidden="false" customHeight="false" outlineLevel="0" collapsed="false">
      <c r="A99" s="40" t="s">
        <v>376</v>
      </c>
      <c r="B99" s="40" t="s">
        <v>377</v>
      </c>
      <c r="C99" s="40" t="s">
        <v>378</v>
      </c>
      <c r="D99" s="41" t="n">
        <v>46236</v>
      </c>
      <c r="E99" s="40" t="s">
        <v>26</v>
      </c>
      <c r="F99" s="40" t="s">
        <v>379</v>
      </c>
      <c r="G99" s="42" t="s">
        <v>380</v>
      </c>
      <c r="H99" s="40" t="s">
        <v>381</v>
      </c>
      <c r="I99" s="40" t="s">
        <v>55</v>
      </c>
      <c r="J99" s="40" t="s">
        <v>29</v>
      </c>
      <c r="K99" s="40" t="s">
        <v>57</v>
      </c>
      <c r="L99" s="42" t="s">
        <v>382</v>
      </c>
      <c r="M99" s="43" t="n">
        <v>74.3370786516854</v>
      </c>
      <c r="N99" s="44" t="n">
        <v>6616000</v>
      </c>
      <c r="O99" s="45" t="n">
        <v>89000</v>
      </c>
      <c r="P99" s="40" t="s">
        <v>383</v>
      </c>
      <c r="Q99" s="40" t="s">
        <v>384</v>
      </c>
      <c r="R99" s="42" t="s">
        <v>137</v>
      </c>
      <c r="S99" s="40" t="n">
        <v>1</v>
      </c>
      <c r="T99" s="40" t="n">
        <v>1</v>
      </c>
      <c r="U99" s="0" t="n">
        <f aca="false">IF(AND(OR('Daily Profitability'!$E$3="All",ISNUMBER(SEARCH('Daily Profitability'!$E$3,F99))),OR('Daily Profitability'!$H$3="All",I99='Daily Profitability'!$H$3),OR('Daily Profitability'!$K$3="All",J99='Daily Profitability'!$K$3),OR('Daily Profitability'!$N$3="All",K99='Daily Profitability'!$N$3)),1,0)</f>
        <v>0</v>
      </c>
    </row>
    <row r="100" customFormat="false" ht="15" hidden="false" customHeight="false" outlineLevel="0" collapsed="false">
      <c r="A100" s="40" t="s">
        <v>385</v>
      </c>
      <c r="B100" s="40" t="s">
        <v>386</v>
      </c>
      <c r="C100" s="40" t="s">
        <v>387</v>
      </c>
      <c r="D100" s="41" t="n">
        <v>46236</v>
      </c>
      <c r="E100" s="40" t="s">
        <v>26</v>
      </c>
      <c r="F100" s="40" t="s">
        <v>16</v>
      </c>
      <c r="G100" s="42" t="s">
        <v>16</v>
      </c>
      <c r="H100" s="40" t="s">
        <v>11</v>
      </c>
      <c r="I100" s="40" t="s">
        <v>11</v>
      </c>
      <c r="J100" s="40" t="s">
        <v>11</v>
      </c>
      <c r="K100" s="40" t="s">
        <v>78</v>
      </c>
      <c r="L100" s="42" t="s">
        <v>388</v>
      </c>
      <c r="M100" s="43" t="n">
        <v>11.9887640449438</v>
      </c>
      <c r="N100" s="44" t="n">
        <v>1067000</v>
      </c>
      <c r="O100" s="45" t="n">
        <v>89000</v>
      </c>
      <c r="P100" s="40" t="s">
        <v>383</v>
      </c>
      <c r="Q100" s="40" t="s">
        <v>389</v>
      </c>
      <c r="R100" s="42" t="s">
        <v>137</v>
      </c>
      <c r="S100" s="40" t="n">
        <v>1</v>
      </c>
      <c r="T100" s="40" t="n">
        <v>1</v>
      </c>
      <c r="U100" s="0" t="n">
        <f aca="false">IF(AND(OR('Daily Profitability'!$E$3="All",ISNUMBER(SEARCH('Daily Profitability'!$E$3,F100))),OR('Daily Profitability'!$H$3="All",I100='Daily Profitability'!$H$3),OR('Daily Profitability'!$K$3="All",J100='Daily Profitability'!$K$3),OR('Daily Profitability'!$N$3="All",K100='Daily Profitability'!$N$3)),1,0)</f>
        <v>1</v>
      </c>
    </row>
    <row r="101" customFormat="false" ht="23.85" hidden="false" customHeight="false" outlineLevel="0" collapsed="false">
      <c r="A101" s="40" t="s">
        <v>390</v>
      </c>
      <c r="B101" s="40" t="s">
        <v>391</v>
      </c>
      <c r="C101" s="40" t="s">
        <v>126</v>
      </c>
      <c r="D101" s="41" t="n">
        <v>46236</v>
      </c>
      <c r="E101" s="40" t="s">
        <v>26</v>
      </c>
      <c r="F101" s="40" t="s">
        <v>32</v>
      </c>
      <c r="G101" s="42" t="s">
        <v>127</v>
      </c>
      <c r="H101" s="40" t="s">
        <v>392</v>
      </c>
      <c r="I101" s="40" t="s">
        <v>52</v>
      </c>
      <c r="J101" s="40" t="s">
        <v>53</v>
      </c>
      <c r="K101" s="40" t="s">
        <v>38</v>
      </c>
      <c r="L101" s="42" t="s">
        <v>393</v>
      </c>
      <c r="M101" s="43" t="n">
        <v>310</v>
      </c>
      <c r="N101" s="44" t="n">
        <v>0</v>
      </c>
      <c r="O101" s="45"/>
      <c r="P101" s="40" t="s">
        <v>383</v>
      </c>
      <c r="Q101" s="40" t="s">
        <v>394</v>
      </c>
      <c r="R101" s="42" t="s">
        <v>395</v>
      </c>
      <c r="S101" s="40" t="n">
        <v>1</v>
      </c>
      <c r="T101" s="40" t="n">
        <v>1</v>
      </c>
      <c r="U101" s="0" t="n">
        <f aca="false">IF(AND(OR('Daily Profitability'!$E$3="All",ISNUMBER(SEARCH('Daily Profitability'!$E$3,F101))),OR('Daily Profitability'!$H$3="All",I101='Daily Profitability'!$H$3),OR('Daily Profitability'!$K$3="All",J101='Daily Profitability'!$K$3),OR('Daily Profitability'!$N$3="All",K101='Daily Profitability'!$N$3)),1,0)</f>
        <v>0</v>
      </c>
    </row>
    <row r="102" customFormat="false" ht="35.05" hidden="false" customHeight="false" outlineLevel="0" collapsed="false">
      <c r="A102" s="40" t="s">
        <v>396</v>
      </c>
      <c r="B102" s="40" t="s">
        <v>397</v>
      </c>
      <c r="C102" s="40" t="s">
        <v>126</v>
      </c>
      <c r="D102" s="41" t="n">
        <v>46236</v>
      </c>
      <c r="E102" s="40" t="s">
        <v>26</v>
      </c>
      <c r="F102" s="40" t="s">
        <v>32</v>
      </c>
      <c r="G102" s="42" t="s">
        <v>127</v>
      </c>
      <c r="H102" s="40" t="s">
        <v>392</v>
      </c>
      <c r="I102" s="40" t="s">
        <v>52</v>
      </c>
      <c r="J102" s="40" t="s">
        <v>63</v>
      </c>
      <c r="K102" s="40" t="s">
        <v>38</v>
      </c>
      <c r="L102" s="42" t="s">
        <v>398</v>
      </c>
      <c r="M102" s="43" t="n">
        <v>80</v>
      </c>
      <c r="N102" s="44" t="n">
        <v>0</v>
      </c>
      <c r="O102" s="45"/>
      <c r="P102" s="40" t="s">
        <v>383</v>
      </c>
      <c r="Q102" s="40" t="s">
        <v>226</v>
      </c>
      <c r="R102" s="42" t="s">
        <v>399</v>
      </c>
      <c r="S102" s="40" t="n">
        <v>1</v>
      </c>
      <c r="T102" s="40" t="n">
        <v>1</v>
      </c>
      <c r="U102" s="0" t="n">
        <f aca="false">IF(AND(OR('Daily Profitability'!$E$3="All",ISNUMBER(SEARCH('Daily Profitability'!$E$3,F102))),OR('Daily Profitability'!$H$3="All",I102='Daily Profitability'!$H$3),OR('Daily Profitability'!$K$3="All",J102='Daily Profitability'!$K$3),OR('Daily Profitability'!$N$3="All",K102='Daily Profitability'!$N$3)),1,0)</f>
        <v>0</v>
      </c>
    </row>
    <row r="103" customFormat="false" ht="15" hidden="false" customHeight="false" outlineLevel="0" collapsed="false">
      <c r="A103" s="40" t="s">
        <v>400</v>
      </c>
      <c r="B103" s="40" t="s">
        <v>401</v>
      </c>
      <c r="C103" s="40" t="s">
        <v>126</v>
      </c>
      <c r="D103" s="41" t="n">
        <v>46236</v>
      </c>
      <c r="E103" s="40" t="s">
        <v>26</v>
      </c>
      <c r="F103" s="40" t="s">
        <v>16</v>
      </c>
      <c r="G103" s="42" t="s">
        <v>16</v>
      </c>
      <c r="H103" s="40" t="s">
        <v>11</v>
      </c>
      <c r="I103" s="40" t="s">
        <v>11</v>
      </c>
      <c r="J103" s="40" t="s">
        <v>11</v>
      </c>
      <c r="K103" s="40" t="s">
        <v>75</v>
      </c>
      <c r="L103" s="42" t="s">
        <v>216</v>
      </c>
      <c r="M103" s="43" t="n">
        <v>60.116</v>
      </c>
      <c r="N103" s="44" t="n">
        <v>5410440</v>
      </c>
      <c r="O103" s="45" t="n">
        <v>90000</v>
      </c>
      <c r="P103" s="40" t="s">
        <v>383</v>
      </c>
      <c r="Q103" s="40" t="s">
        <v>362</v>
      </c>
      <c r="R103" s="42" t="s">
        <v>402</v>
      </c>
      <c r="S103" s="40" t="n">
        <v>1</v>
      </c>
      <c r="T103" s="40" t="n">
        <v>1</v>
      </c>
      <c r="U103" s="0" t="n">
        <f aca="false">IF(AND(OR('Daily Profitability'!$E$3="All",ISNUMBER(SEARCH('Daily Profitability'!$E$3,F103))),OR('Daily Profitability'!$H$3="All",I103='Daily Profitability'!$H$3),OR('Daily Profitability'!$K$3="All",J103='Daily Profitability'!$K$3),OR('Daily Profitability'!$N$3="All",K103='Daily Profitability'!$N$3)),1,0)</f>
        <v>1</v>
      </c>
    </row>
    <row r="104" customFormat="false" ht="15" hidden="false" customHeight="false" outlineLevel="0" collapsed="false">
      <c r="A104" s="40" t="s">
        <v>403</v>
      </c>
      <c r="B104" s="40" t="s">
        <v>404</v>
      </c>
      <c r="C104" s="40" t="s">
        <v>126</v>
      </c>
      <c r="D104" s="41" t="n">
        <v>46236</v>
      </c>
      <c r="E104" s="40" t="s">
        <v>26</v>
      </c>
      <c r="F104" s="40" t="s">
        <v>16</v>
      </c>
      <c r="G104" s="42" t="s">
        <v>16</v>
      </c>
      <c r="H104" s="40" t="s">
        <v>11</v>
      </c>
      <c r="I104" s="40" t="s">
        <v>11</v>
      </c>
      <c r="J104" s="40" t="s">
        <v>11</v>
      </c>
      <c r="K104" s="40" t="s">
        <v>86</v>
      </c>
      <c r="L104" s="42" t="s">
        <v>320</v>
      </c>
      <c r="M104" s="43" t="n">
        <v>30.4972222222222</v>
      </c>
      <c r="N104" s="44" t="n">
        <v>2744750</v>
      </c>
      <c r="O104" s="45" t="n">
        <v>90000.0000000001</v>
      </c>
      <c r="P104" s="40" t="s">
        <v>383</v>
      </c>
      <c r="Q104" s="40" t="s">
        <v>197</v>
      </c>
      <c r="R104" s="42" t="s">
        <v>402</v>
      </c>
      <c r="S104" s="40" t="n">
        <v>1</v>
      </c>
      <c r="T104" s="40" t="n">
        <v>1</v>
      </c>
      <c r="U104" s="0" t="n">
        <f aca="false">IF(AND(OR('Daily Profitability'!$E$3="All",ISNUMBER(SEARCH('Daily Profitability'!$E$3,F104))),OR('Daily Profitability'!$H$3="All",I104='Daily Profitability'!$H$3),OR('Daily Profitability'!$K$3="All",J104='Daily Profitability'!$K$3),OR('Daily Profitability'!$N$3="All",K104='Daily Profitability'!$N$3)),1,0)</f>
        <v>1</v>
      </c>
    </row>
    <row r="105" customFormat="false" ht="15" hidden="false" customHeight="false" outlineLevel="0" collapsed="false">
      <c r="A105" s="40" t="s">
        <v>405</v>
      </c>
      <c r="B105" s="40" t="s">
        <v>406</v>
      </c>
      <c r="C105" s="40" t="s">
        <v>407</v>
      </c>
      <c r="D105" s="41" t="n">
        <v>46235</v>
      </c>
      <c r="E105" s="40" t="s">
        <v>26</v>
      </c>
      <c r="F105" s="40" t="s">
        <v>32</v>
      </c>
      <c r="G105" s="42" t="s">
        <v>408</v>
      </c>
      <c r="H105" s="40" t="s">
        <v>72</v>
      </c>
      <c r="I105" s="40" t="s">
        <v>17</v>
      </c>
      <c r="J105" s="40" t="s">
        <v>61</v>
      </c>
      <c r="K105" s="40" t="s">
        <v>72</v>
      </c>
      <c r="L105" s="42" t="s">
        <v>409</v>
      </c>
      <c r="M105" s="43" t="n">
        <v>30</v>
      </c>
      <c r="N105" s="44" t="n">
        <v>0</v>
      </c>
      <c r="O105" s="45"/>
      <c r="P105" s="40" t="s">
        <v>410</v>
      </c>
      <c r="Q105" s="40" t="s">
        <v>171</v>
      </c>
      <c r="R105" s="42" t="s">
        <v>137</v>
      </c>
      <c r="S105" s="40" t="n">
        <v>1</v>
      </c>
      <c r="T105" s="40" t="n">
        <v>1</v>
      </c>
      <c r="U105" s="0" t="n">
        <f aca="false">IF(AND(OR('Daily Profitability'!$E$3="All",ISNUMBER(SEARCH('Daily Profitability'!$E$3,F105))),OR('Daily Profitability'!$H$3="All",I105='Daily Profitability'!$H$3),OR('Daily Profitability'!$K$3="All",J105='Daily Profitability'!$K$3),OR('Daily Profitability'!$N$3="All",K105='Daily Profitability'!$N$3)),1,0)</f>
        <v>0</v>
      </c>
    </row>
    <row r="106" customFormat="false" ht="15" hidden="false" customHeight="false" outlineLevel="0" collapsed="false">
      <c r="A106" s="40" t="s">
        <v>411</v>
      </c>
      <c r="B106" s="40" t="s">
        <v>412</v>
      </c>
      <c r="C106" s="40" t="s">
        <v>413</v>
      </c>
      <c r="D106" s="41" t="n">
        <v>46241</v>
      </c>
      <c r="E106" s="40" t="s">
        <v>26</v>
      </c>
      <c r="F106" s="40" t="s">
        <v>32</v>
      </c>
      <c r="G106" s="42" t="s">
        <v>228</v>
      </c>
      <c r="H106" s="40" t="s">
        <v>38</v>
      </c>
      <c r="I106" s="40" t="s">
        <v>39</v>
      </c>
      <c r="J106" s="40" t="s">
        <v>40</v>
      </c>
      <c r="K106" s="40" t="s">
        <v>38</v>
      </c>
      <c r="L106" s="42" t="s">
        <v>414</v>
      </c>
      <c r="M106" s="43" t="n">
        <v>14</v>
      </c>
      <c r="N106" s="44" t="n">
        <v>0</v>
      </c>
      <c r="O106" s="45"/>
      <c r="P106" s="40" t="s">
        <v>410</v>
      </c>
      <c r="Q106" s="40" t="s">
        <v>141</v>
      </c>
      <c r="R106" s="42" t="s">
        <v>174</v>
      </c>
      <c r="S106" s="40" t="n">
        <v>1</v>
      </c>
      <c r="T106" s="40" t="n">
        <v>1</v>
      </c>
      <c r="U106" s="0" t="n">
        <f aca="false">IF(AND(OR('Daily Profitability'!$E$3="All",ISNUMBER(SEARCH('Daily Profitability'!$E$3,F106))),OR('Daily Profitability'!$H$3="All",I106='Daily Profitability'!$H$3),OR('Daily Profitability'!$K$3="All",J106='Daily Profitability'!$K$3),OR('Daily Profitability'!$N$3="All",K106='Daily Profitability'!$N$3)),1,0)</f>
        <v>0</v>
      </c>
    </row>
    <row r="107" customFormat="false" ht="15" hidden="false" customHeight="false" outlineLevel="0" collapsed="false">
      <c r="A107" s="40" t="s">
        <v>415</v>
      </c>
      <c r="B107" s="40" t="s">
        <v>416</v>
      </c>
      <c r="C107" s="40" t="s">
        <v>417</v>
      </c>
      <c r="D107" s="41" t="n">
        <v>46241</v>
      </c>
      <c r="E107" s="40" t="s">
        <v>26</v>
      </c>
      <c r="F107" s="40" t="s">
        <v>16</v>
      </c>
      <c r="G107" s="42" t="s">
        <v>16</v>
      </c>
      <c r="H107" s="40" t="s">
        <v>11</v>
      </c>
      <c r="I107" s="40" t="s">
        <v>11</v>
      </c>
      <c r="J107" s="40" t="s">
        <v>11</v>
      </c>
      <c r="K107" s="40" t="s">
        <v>78</v>
      </c>
      <c r="L107" s="42" t="s">
        <v>320</v>
      </c>
      <c r="M107" s="43" t="n">
        <v>10.9258426966292</v>
      </c>
      <c r="N107" s="44" t="n">
        <v>972400</v>
      </c>
      <c r="O107" s="45" t="n">
        <v>89000.0000000001</v>
      </c>
      <c r="P107" s="40" t="s">
        <v>410</v>
      </c>
      <c r="Q107" s="40" t="s">
        <v>214</v>
      </c>
      <c r="R107" s="42" t="s">
        <v>137</v>
      </c>
      <c r="S107" s="40" t="n">
        <v>1</v>
      </c>
      <c r="T107" s="40" t="n">
        <v>1</v>
      </c>
      <c r="U107" s="0" t="n">
        <f aca="false">IF(AND(OR('Daily Profitability'!$E$3="All",ISNUMBER(SEARCH('Daily Profitability'!$E$3,F107))),OR('Daily Profitability'!$H$3="All",I107='Daily Profitability'!$H$3),OR('Daily Profitability'!$K$3="All",J107='Daily Profitability'!$K$3),OR('Daily Profitability'!$N$3="All",K107='Daily Profitability'!$N$3)),1,0)</f>
        <v>1</v>
      </c>
    </row>
    <row r="108" customFormat="false" ht="15" hidden="false" customHeight="false" outlineLevel="0" collapsed="false">
      <c r="A108" s="40" t="s">
        <v>418</v>
      </c>
      <c r="B108" s="40" t="s">
        <v>419</v>
      </c>
      <c r="C108" s="40" t="s">
        <v>420</v>
      </c>
      <c r="D108" s="41" t="n">
        <v>46241</v>
      </c>
      <c r="E108" s="40" t="s">
        <v>26</v>
      </c>
      <c r="F108" s="40" t="s">
        <v>16</v>
      </c>
      <c r="G108" s="42" t="s">
        <v>16</v>
      </c>
      <c r="H108" s="40" t="s">
        <v>11</v>
      </c>
      <c r="I108" s="40" t="s">
        <v>11</v>
      </c>
      <c r="J108" s="40" t="s">
        <v>11</v>
      </c>
      <c r="K108" s="40" t="s">
        <v>38</v>
      </c>
      <c r="L108" s="42" t="s">
        <v>320</v>
      </c>
      <c r="M108" s="43" t="n">
        <v>68.876404494382</v>
      </c>
      <c r="N108" s="44" t="n">
        <v>6130000</v>
      </c>
      <c r="O108" s="45" t="n">
        <v>89000</v>
      </c>
      <c r="P108" s="40" t="s">
        <v>410</v>
      </c>
      <c r="Q108" s="40" t="s">
        <v>289</v>
      </c>
      <c r="R108" s="42" t="s">
        <v>174</v>
      </c>
      <c r="S108" s="40" t="n">
        <v>1</v>
      </c>
      <c r="T108" s="40" t="n">
        <v>1</v>
      </c>
      <c r="U108" s="0" t="n">
        <f aca="false">IF(AND(OR('Daily Profitability'!$E$3="All",ISNUMBER(SEARCH('Daily Profitability'!$E$3,F108))),OR('Daily Profitability'!$H$3="All",I108='Daily Profitability'!$H$3),OR('Daily Profitability'!$K$3="All",J108='Daily Profitability'!$K$3),OR('Daily Profitability'!$N$3="All",K108='Daily Profitability'!$N$3)),1,0)</f>
        <v>1</v>
      </c>
    </row>
    <row r="109" customFormat="false" ht="15" hidden="false" customHeight="false" outlineLevel="0" collapsed="false">
      <c r="A109" s="40" t="s">
        <v>421</v>
      </c>
      <c r="B109" s="40" t="s">
        <v>422</v>
      </c>
      <c r="C109" s="40" t="s">
        <v>423</v>
      </c>
      <c r="D109" s="41" t="n">
        <v>46241</v>
      </c>
      <c r="E109" s="40" t="s">
        <v>26</v>
      </c>
      <c r="F109" s="40" t="s">
        <v>16</v>
      </c>
      <c r="G109" s="42" t="s">
        <v>16</v>
      </c>
      <c r="H109" s="40" t="s">
        <v>11</v>
      </c>
      <c r="I109" s="40" t="s">
        <v>11</v>
      </c>
      <c r="J109" s="40" t="s">
        <v>11</v>
      </c>
      <c r="K109" s="40" t="s">
        <v>78</v>
      </c>
      <c r="L109" s="42" t="s">
        <v>424</v>
      </c>
      <c r="M109" s="43" t="n">
        <v>29.7842696629213</v>
      </c>
      <c r="N109" s="44" t="n">
        <v>2650800</v>
      </c>
      <c r="O109" s="45" t="n">
        <v>89000</v>
      </c>
      <c r="P109" s="40" t="s">
        <v>410</v>
      </c>
      <c r="Q109" s="40" t="s">
        <v>425</v>
      </c>
      <c r="R109" s="42" t="s">
        <v>137</v>
      </c>
      <c r="S109" s="40" t="n">
        <v>1</v>
      </c>
      <c r="T109" s="40" t="n">
        <v>1</v>
      </c>
      <c r="U109" s="0" t="n">
        <f aca="false">IF(AND(OR('Daily Profitability'!$E$3="All",ISNUMBER(SEARCH('Daily Profitability'!$E$3,F109))),OR('Daily Profitability'!$H$3="All",I109='Daily Profitability'!$H$3),OR('Daily Profitability'!$K$3="All",J109='Daily Profitability'!$K$3),OR('Daily Profitability'!$N$3="All",K109='Daily Profitability'!$N$3)),1,0)</f>
        <v>1</v>
      </c>
    </row>
    <row r="110" customFormat="false" ht="15" hidden="false" customHeight="false" outlineLevel="0" collapsed="false">
      <c r="A110" s="40" t="s">
        <v>426</v>
      </c>
      <c r="B110" s="40" t="s">
        <v>427</v>
      </c>
      <c r="C110" s="40" t="s">
        <v>428</v>
      </c>
      <c r="D110" s="41" t="n">
        <v>46241</v>
      </c>
      <c r="E110" s="40" t="s">
        <v>26</v>
      </c>
      <c r="F110" s="40" t="s">
        <v>379</v>
      </c>
      <c r="G110" s="42" t="s">
        <v>429</v>
      </c>
      <c r="H110" s="40" t="s">
        <v>380</v>
      </c>
      <c r="I110" s="40" t="s">
        <v>55</v>
      </c>
      <c r="J110" s="40" t="s">
        <v>29</v>
      </c>
      <c r="K110" s="40" t="s">
        <v>62</v>
      </c>
      <c r="L110" s="42" t="s">
        <v>430</v>
      </c>
      <c r="M110" s="43" t="n">
        <v>103.837752808989</v>
      </c>
      <c r="N110" s="44" t="n">
        <v>9241560</v>
      </c>
      <c r="O110" s="45" t="n">
        <v>88999.9999999998</v>
      </c>
      <c r="P110" s="40" t="s">
        <v>410</v>
      </c>
      <c r="Q110" s="40" t="s">
        <v>359</v>
      </c>
      <c r="R110" s="42" t="s">
        <v>137</v>
      </c>
      <c r="S110" s="40" t="n">
        <v>1</v>
      </c>
      <c r="T110" s="40" t="n">
        <v>1</v>
      </c>
      <c r="U110" s="0" t="n">
        <f aca="false">IF(AND(OR('Daily Profitability'!$E$3="All",ISNUMBER(SEARCH('Daily Profitability'!$E$3,F110))),OR('Daily Profitability'!$H$3="All",I110='Daily Profitability'!$H$3),OR('Daily Profitability'!$K$3="All",J110='Daily Profitability'!$K$3),OR('Daily Profitability'!$N$3="All",K110='Daily Profitability'!$N$3)),1,0)</f>
        <v>0</v>
      </c>
    </row>
    <row r="111" customFormat="false" ht="15" hidden="false" customHeight="false" outlineLevel="0" collapsed="false">
      <c r="A111" s="40" t="s">
        <v>431</v>
      </c>
      <c r="B111" s="40" t="s">
        <v>432</v>
      </c>
      <c r="C111" s="40" t="s">
        <v>433</v>
      </c>
      <c r="D111" s="41" t="n">
        <v>46241</v>
      </c>
      <c r="E111" s="40" t="s">
        <v>26</v>
      </c>
      <c r="F111" s="40" t="s">
        <v>379</v>
      </c>
      <c r="G111" s="42" t="s">
        <v>434</v>
      </c>
      <c r="H111" s="40" t="s">
        <v>380</v>
      </c>
      <c r="I111" s="40" t="s">
        <v>17</v>
      </c>
      <c r="J111" s="40" t="s">
        <v>18</v>
      </c>
      <c r="K111" s="40" t="s">
        <v>86</v>
      </c>
      <c r="L111" s="42" t="s">
        <v>435</v>
      </c>
      <c r="M111" s="43" t="n">
        <v>79.7415730337079</v>
      </c>
      <c r="N111" s="44" t="n">
        <v>7097000</v>
      </c>
      <c r="O111" s="45" t="n">
        <v>89000</v>
      </c>
      <c r="P111" s="40" t="s">
        <v>410</v>
      </c>
      <c r="Q111" s="40" t="s">
        <v>362</v>
      </c>
      <c r="R111" s="42" t="s">
        <v>137</v>
      </c>
      <c r="S111" s="40" t="n">
        <v>1</v>
      </c>
      <c r="T111" s="40" t="n">
        <v>1</v>
      </c>
      <c r="U111" s="0" t="n">
        <f aca="false">IF(AND(OR('Daily Profitability'!$E$3="All",ISNUMBER(SEARCH('Daily Profitability'!$E$3,F111))),OR('Daily Profitability'!$H$3="All",I111='Daily Profitability'!$H$3),OR('Daily Profitability'!$K$3="All",J111='Daily Profitability'!$K$3),OR('Daily Profitability'!$N$3="All",K111='Daily Profitability'!$N$3)),1,0)</f>
        <v>0</v>
      </c>
    </row>
    <row r="112" customFormat="false" ht="15" hidden="false" customHeight="false" outlineLevel="0" collapsed="false">
      <c r="A112" s="40" t="s">
        <v>436</v>
      </c>
      <c r="B112" s="40" t="s">
        <v>437</v>
      </c>
      <c r="C112" s="40" t="s">
        <v>438</v>
      </c>
      <c r="D112" s="41" t="n">
        <v>46242</v>
      </c>
      <c r="E112" s="40" t="s">
        <v>26</v>
      </c>
      <c r="F112" s="40" t="s">
        <v>16</v>
      </c>
      <c r="G112" s="42" t="s">
        <v>16</v>
      </c>
      <c r="H112" s="40" t="s">
        <v>11</v>
      </c>
      <c r="I112" s="40" t="s">
        <v>11</v>
      </c>
      <c r="J112" s="40" t="s">
        <v>11</v>
      </c>
      <c r="K112" s="40" t="s">
        <v>78</v>
      </c>
      <c r="L112" s="42" t="s">
        <v>439</v>
      </c>
      <c r="M112" s="43" t="n">
        <v>14.8202247191011</v>
      </c>
      <c r="N112" s="44" t="n">
        <v>1319000</v>
      </c>
      <c r="O112" s="45" t="n">
        <v>89000</v>
      </c>
      <c r="P112" s="40" t="s">
        <v>440</v>
      </c>
      <c r="Q112" s="40" t="s">
        <v>441</v>
      </c>
      <c r="R112" s="42" t="s">
        <v>137</v>
      </c>
      <c r="S112" s="40" t="n">
        <v>1</v>
      </c>
      <c r="T112" s="40" t="n">
        <v>1</v>
      </c>
      <c r="U112" s="0" t="n">
        <f aca="false">IF(AND(OR('Daily Profitability'!$E$3="All",ISNUMBER(SEARCH('Daily Profitability'!$E$3,F112))),OR('Daily Profitability'!$H$3="All",I112='Daily Profitability'!$H$3),OR('Daily Profitability'!$K$3="All",J112='Daily Profitability'!$K$3),OR('Daily Profitability'!$N$3="All",K112='Daily Profitability'!$N$3)),1,0)</f>
        <v>1</v>
      </c>
    </row>
    <row r="113" customFormat="false" ht="23.85" hidden="false" customHeight="false" outlineLevel="0" collapsed="false">
      <c r="A113" s="40" t="s">
        <v>442</v>
      </c>
      <c r="B113" s="40" t="s">
        <v>443</v>
      </c>
      <c r="C113" s="40" t="s">
        <v>444</v>
      </c>
      <c r="D113" s="41" t="n">
        <v>46242</v>
      </c>
      <c r="E113" s="40" t="s">
        <v>26</v>
      </c>
      <c r="F113" s="40" t="s">
        <v>16</v>
      </c>
      <c r="G113" s="42" t="s">
        <v>16</v>
      </c>
      <c r="H113" s="40" t="s">
        <v>11</v>
      </c>
      <c r="I113" s="40" t="s">
        <v>11</v>
      </c>
      <c r="J113" s="40" t="s">
        <v>11</v>
      </c>
      <c r="K113" s="40" t="s">
        <v>78</v>
      </c>
      <c r="L113" s="42" t="s">
        <v>445</v>
      </c>
      <c r="M113" s="43" t="n">
        <v>42.3595505617977</v>
      </c>
      <c r="N113" s="44" t="n">
        <v>3770000</v>
      </c>
      <c r="O113" s="45" t="n">
        <v>89000.0000000001</v>
      </c>
      <c r="P113" s="40" t="s">
        <v>440</v>
      </c>
      <c r="Q113" s="40" t="s">
        <v>446</v>
      </c>
      <c r="R113" s="42" t="s">
        <v>137</v>
      </c>
      <c r="S113" s="40" t="n">
        <v>1</v>
      </c>
      <c r="T113" s="40" t="n">
        <v>1</v>
      </c>
      <c r="U113" s="0" t="n">
        <f aca="false">IF(AND(OR('Daily Profitability'!$E$3="All",ISNUMBER(SEARCH('Daily Profitability'!$E$3,F113))),OR('Daily Profitability'!$H$3="All",I113='Daily Profitability'!$H$3),OR('Daily Profitability'!$K$3="All",J113='Daily Profitability'!$K$3),OR('Daily Profitability'!$N$3="All",K113='Daily Profitability'!$N$3)),1,0)</f>
        <v>1</v>
      </c>
    </row>
    <row r="114" customFormat="false" ht="15" hidden="false" customHeight="false" outlineLevel="0" collapsed="false">
      <c r="A114" s="40" t="s">
        <v>447</v>
      </c>
      <c r="B114" s="40" t="s">
        <v>448</v>
      </c>
      <c r="C114" s="40" t="s">
        <v>449</v>
      </c>
      <c r="D114" s="41" t="n">
        <v>46242</v>
      </c>
      <c r="E114" s="40" t="s">
        <v>26</v>
      </c>
      <c r="F114" s="40" t="s">
        <v>16</v>
      </c>
      <c r="G114" s="42" t="s">
        <v>16</v>
      </c>
      <c r="H114" s="40" t="s">
        <v>11</v>
      </c>
      <c r="I114" s="40" t="s">
        <v>11</v>
      </c>
      <c r="J114" s="40" t="s">
        <v>11</v>
      </c>
      <c r="K114" s="40" t="s">
        <v>78</v>
      </c>
      <c r="L114" s="42" t="s">
        <v>450</v>
      </c>
      <c r="M114" s="43" t="n">
        <v>7.19101123595506</v>
      </c>
      <c r="N114" s="44" t="n">
        <v>640000</v>
      </c>
      <c r="O114" s="45" t="n">
        <v>88999.9999999999</v>
      </c>
      <c r="P114" s="40" t="s">
        <v>440</v>
      </c>
      <c r="Q114" s="40" t="s">
        <v>151</v>
      </c>
      <c r="R114" s="42" t="s">
        <v>137</v>
      </c>
      <c r="S114" s="40" t="n">
        <v>1</v>
      </c>
      <c r="T114" s="40" t="n">
        <v>1</v>
      </c>
      <c r="U114" s="0" t="n">
        <f aca="false">IF(AND(OR('Daily Profitability'!$E$3="All",ISNUMBER(SEARCH('Daily Profitability'!$E$3,F114))),OR('Daily Profitability'!$H$3="All",I114='Daily Profitability'!$H$3),OR('Daily Profitability'!$K$3="All",J114='Daily Profitability'!$K$3),OR('Daily Profitability'!$N$3="All",K114='Daily Profitability'!$N$3)),1,0)</f>
        <v>1</v>
      </c>
    </row>
    <row r="115" customFormat="false" ht="15" hidden="false" customHeight="false" outlineLevel="0" collapsed="false">
      <c r="A115" s="40" t="s">
        <v>451</v>
      </c>
      <c r="B115" s="40" t="s">
        <v>452</v>
      </c>
      <c r="C115" s="40" t="s">
        <v>126</v>
      </c>
      <c r="D115" s="41" t="n">
        <v>46242</v>
      </c>
      <c r="E115" s="40" t="s">
        <v>26</v>
      </c>
      <c r="F115" s="40" t="s">
        <v>16</v>
      </c>
      <c r="G115" s="42" t="s">
        <v>16</v>
      </c>
      <c r="H115" s="40" t="s">
        <v>11</v>
      </c>
      <c r="I115" s="40" t="s">
        <v>11</v>
      </c>
      <c r="J115" s="40" t="s">
        <v>11</v>
      </c>
      <c r="K115" s="40" t="s">
        <v>35</v>
      </c>
      <c r="L115" s="42" t="s">
        <v>453</v>
      </c>
      <c r="M115" s="43" t="n">
        <v>18.27</v>
      </c>
      <c r="N115" s="44" t="n">
        <v>0</v>
      </c>
      <c r="O115" s="45"/>
      <c r="P115" s="40" t="s">
        <v>440</v>
      </c>
      <c r="Q115" s="40" t="s">
        <v>153</v>
      </c>
      <c r="R115" s="42" t="s">
        <v>402</v>
      </c>
      <c r="S115" s="40" t="n">
        <v>1</v>
      </c>
      <c r="T115" s="40" t="n">
        <v>1</v>
      </c>
      <c r="U115" s="0" t="n">
        <f aca="false">IF(AND(OR('Daily Profitability'!$E$3="All",ISNUMBER(SEARCH('Daily Profitability'!$E$3,F115))),OR('Daily Profitability'!$H$3="All",I115='Daily Profitability'!$H$3),OR('Daily Profitability'!$K$3="All",J115='Daily Profitability'!$K$3),OR('Daily Profitability'!$N$3="All",K115='Daily Profitability'!$N$3)),1,0)</f>
        <v>1</v>
      </c>
    </row>
    <row r="116" customFormat="false" ht="23.85" hidden="false" customHeight="false" outlineLevel="0" collapsed="false">
      <c r="A116" s="40" t="s">
        <v>454</v>
      </c>
      <c r="B116" s="40" t="s">
        <v>455</v>
      </c>
      <c r="C116" s="40" t="s">
        <v>126</v>
      </c>
      <c r="D116" s="41" t="n">
        <v>46242</v>
      </c>
      <c r="E116" s="40" t="s">
        <v>26</v>
      </c>
      <c r="F116" s="40" t="s">
        <v>16</v>
      </c>
      <c r="G116" s="42" t="s">
        <v>16</v>
      </c>
      <c r="H116" s="40" t="s">
        <v>11</v>
      </c>
      <c r="I116" s="40" t="s">
        <v>11</v>
      </c>
      <c r="J116" s="40" t="s">
        <v>11</v>
      </c>
      <c r="K116" s="40" t="s">
        <v>82</v>
      </c>
      <c r="L116" s="42" t="s">
        <v>456</v>
      </c>
      <c r="M116" s="43" t="n">
        <v>6.74157303370787</v>
      </c>
      <c r="N116" s="44" t="n">
        <v>600000</v>
      </c>
      <c r="O116" s="45" t="n">
        <v>88999.9999999999</v>
      </c>
      <c r="P116" s="40" t="s">
        <v>440</v>
      </c>
      <c r="Q116" s="40" t="s">
        <v>192</v>
      </c>
      <c r="R116" s="42" t="s">
        <v>457</v>
      </c>
      <c r="S116" s="40" t="n">
        <v>1</v>
      </c>
      <c r="T116" s="40" t="n">
        <v>1</v>
      </c>
      <c r="U116" s="0" t="n">
        <f aca="false">IF(AND(OR('Daily Profitability'!$E$3="All",ISNUMBER(SEARCH('Daily Profitability'!$E$3,F116))),OR('Daily Profitability'!$H$3="All",I116='Daily Profitability'!$H$3),OR('Daily Profitability'!$K$3="All",J116='Daily Profitability'!$K$3),OR('Daily Profitability'!$N$3="All",K116='Daily Profitability'!$N$3)),1,0)</f>
        <v>1</v>
      </c>
    </row>
    <row r="117" customFormat="false" ht="23.85" hidden="false" customHeight="false" outlineLevel="0" collapsed="false">
      <c r="A117" s="40" t="s">
        <v>458</v>
      </c>
      <c r="B117" s="40" t="s">
        <v>459</v>
      </c>
      <c r="C117" s="40" t="s">
        <v>126</v>
      </c>
      <c r="D117" s="41" t="n">
        <v>46242</v>
      </c>
      <c r="E117" s="40" t="s">
        <v>26</v>
      </c>
      <c r="F117" s="40" t="s">
        <v>16</v>
      </c>
      <c r="G117" s="42" t="s">
        <v>16</v>
      </c>
      <c r="H117" s="40" t="s">
        <v>11</v>
      </c>
      <c r="I117" s="40" t="s">
        <v>11</v>
      </c>
      <c r="J117" s="40" t="s">
        <v>11</v>
      </c>
      <c r="K117" s="40" t="s">
        <v>66</v>
      </c>
      <c r="L117" s="42" t="s">
        <v>320</v>
      </c>
      <c r="M117" s="43" t="n">
        <v>118.179775280899</v>
      </c>
      <c r="N117" s="44" t="n">
        <v>10518000</v>
      </c>
      <c r="O117" s="45" t="n">
        <v>88999.9999999999</v>
      </c>
      <c r="P117" s="40" t="s">
        <v>440</v>
      </c>
      <c r="Q117" s="40" t="s">
        <v>460</v>
      </c>
      <c r="R117" s="42" t="s">
        <v>457</v>
      </c>
      <c r="S117" s="40" t="n">
        <v>1</v>
      </c>
      <c r="T117" s="40" t="n">
        <v>1</v>
      </c>
      <c r="U117" s="0" t="n">
        <f aca="false">IF(AND(OR('Daily Profitability'!$E$3="All",ISNUMBER(SEARCH('Daily Profitability'!$E$3,F117))),OR('Daily Profitability'!$H$3="All",I117='Daily Profitability'!$H$3),OR('Daily Profitability'!$K$3="All",J117='Daily Profitability'!$K$3),OR('Daily Profitability'!$N$3="All",K117='Daily Profitability'!$N$3)),1,0)</f>
        <v>1</v>
      </c>
    </row>
    <row r="118" customFormat="false" ht="15" hidden="false" customHeight="false" outlineLevel="0" collapsed="false">
      <c r="A118" s="40" t="s">
        <v>461</v>
      </c>
      <c r="B118" s="40" t="s">
        <v>462</v>
      </c>
      <c r="C118" s="40" t="s">
        <v>463</v>
      </c>
      <c r="D118" s="41" t="n">
        <v>46243</v>
      </c>
      <c r="E118" s="40" t="s">
        <v>26</v>
      </c>
      <c r="F118" s="40" t="s">
        <v>16</v>
      </c>
      <c r="G118" s="42" t="s">
        <v>16</v>
      </c>
      <c r="H118" s="40" t="s">
        <v>11</v>
      </c>
      <c r="I118" s="40" t="s">
        <v>11</v>
      </c>
      <c r="J118" s="40" t="s">
        <v>11</v>
      </c>
      <c r="K118" s="40" t="s">
        <v>78</v>
      </c>
      <c r="L118" s="42" t="s">
        <v>464</v>
      </c>
      <c r="M118" s="43" t="n">
        <v>26.808988764045</v>
      </c>
      <c r="N118" s="44" t="n">
        <v>2386000</v>
      </c>
      <c r="O118" s="45" t="n">
        <v>89000</v>
      </c>
      <c r="P118" s="40" t="s">
        <v>465</v>
      </c>
      <c r="Q118" s="40" t="s">
        <v>466</v>
      </c>
      <c r="R118" s="42" t="s">
        <v>137</v>
      </c>
      <c r="S118" s="40" t="n">
        <v>1</v>
      </c>
      <c r="T118" s="40" t="n">
        <v>1</v>
      </c>
      <c r="U118" s="0" t="n">
        <f aca="false">IF(AND(OR('Daily Profitability'!$E$3="All",ISNUMBER(SEARCH('Daily Profitability'!$E$3,F118))),OR('Daily Profitability'!$H$3="All",I118='Daily Profitability'!$H$3),OR('Daily Profitability'!$K$3="All",J118='Daily Profitability'!$K$3),OR('Daily Profitability'!$N$3="All",K118='Daily Profitability'!$N$3)),1,0)</f>
        <v>1</v>
      </c>
    </row>
    <row r="119" customFormat="false" ht="15" hidden="false" customHeight="false" outlineLevel="0" collapsed="false">
      <c r="A119" s="40" t="s">
        <v>467</v>
      </c>
      <c r="B119" s="40" t="s">
        <v>462</v>
      </c>
      <c r="C119" s="40" t="s">
        <v>463</v>
      </c>
      <c r="D119" s="41" t="n">
        <v>46243</v>
      </c>
      <c r="E119" s="40" t="s">
        <v>26</v>
      </c>
      <c r="F119" s="40" t="s">
        <v>379</v>
      </c>
      <c r="G119" s="42" t="s">
        <v>380</v>
      </c>
      <c r="H119" s="40" t="s">
        <v>381</v>
      </c>
      <c r="I119" s="40" t="s">
        <v>55</v>
      </c>
      <c r="J119" s="40" t="s">
        <v>29</v>
      </c>
      <c r="K119" s="40" t="s">
        <v>78</v>
      </c>
      <c r="L119" s="42" t="s">
        <v>468</v>
      </c>
      <c r="M119" s="43" t="n">
        <v>6.74157303370787</v>
      </c>
      <c r="N119" s="44" t="n">
        <v>600000</v>
      </c>
      <c r="O119" s="45" t="n">
        <v>88999.9999999999</v>
      </c>
      <c r="P119" s="40" t="s">
        <v>465</v>
      </c>
      <c r="Q119" s="40" t="s">
        <v>136</v>
      </c>
      <c r="R119" s="42" t="s">
        <v>137</v>
      </c>
      <c r="S119" s="40" t="n">
        <v>1</v>
      </c>
      <c r="T119" s="40" t="n">
        <v>0</v>
      </c>
      <c r="U119" s="0" t="n">
        <f aca="false">IF(AND(OR('Daily Profitability'!$E$3="All",ISNUMBER(SEARCH('Daily Profitability'!$E$3,F119))),OR('Daily Profitability'!$H$3="All",I119='Daily Profitability'!$H$3),OR('Daily Profitability'!$K$3="All",J119='Daily Profitability'!$K$3),OR('Daily Profitability'!$N$3="All",K119='Daily Profitability'!$N$3)),1,0)</f>
        <v>0</v>
      </c>
    </row>
    <row r="120" customFormat="false" ht="15" hidden="false" customHeight="false" outlineLevel="0" collapsed="false">
      <c r="A120" s="40" t="s">
        <v>469</v>
      </c>
      <c r="B120" s="40" t="s">
        <v>462</v>
      </c>
      <c r="C120" s="40" t="s">
        <v>463</v>
      </c>
      <c r="D120" s="41" t="n">
        <v>46243</v>
      </c>
      <c r="E120" s="40" t="s">
        <v>26</v>
      </c>
      <c r="F120" s="40" t="s">
        <v>470</v>
      </c>
      <c r="G120" s="42" t="s">
        <v>380</v>
      </c>
      <c r="H120" s="40" t="s">
        <v>471</v>
      </c>
      <c r="I120" s="40" t="s">
        <v>11</v>
      </c>
      <c r="J120" s="40" t="s">
        <v>11</v>
      </c>
      <c r="K120" s="40" t="s">
        <v>78</v>
      </c>
      <c r="L120" s="42" t="s">
        <v>472</v>
      </c>
      <c r="M120" s="43" t="n">
        <v>3.03370786516854</v>
      </c>
      <c r="N120" s="44" t="n">
        <v>270000</v>
      </c>
      <c r="O120" s="45" t="n">
        <v>89000</v>
      </c>
      <c r="P120" s="40" t="s">
        <v>465</v>
      </c>
      <c r="Q120" s="40" t="s">
        <v>171</v>
      </c>
      <c r="R120" s="42" t="s">
        <v>137</v>
      </c>
      <c r="S120" s="40" t="n">
        <v>1</v>
      </c>
      <c r="T120" s="40" t="n">
        <v>0</v>
      </c>
      <c r="U120" s="0" t="n">
        <f aca="false">IF(AND(OR('Daily Profitability'!$E$3="All",ISNUMBER(SEARCH('Daily Profitability'!$E$3,F120))),OR('Daily Profitability'!$H$3="All",I120='Daily Profitability'!$H$3),OR('Daily Profitability'!$K$3="All",J120='Daily Profitability'!$K$3),OR('Daily Profitability'!$N$3="All",K120='Daily Profitability'!$N$3)),1,0)</f>
        <v>1</v>
      </c>
    </row>
    <row r="121" customFormat="false" ht="15" hidden="false" customHeight="false" outlineLevel="0" collapsed="false">
      <c r="A121" s="40" t="s">
        <v>473</v>
      </c>
      <c r="B121" s="40" t="s">
        <v>474</v>
      </c>
      <c r="C121" s="40" t="s">
        <v>475</v>
      </c>
      <c r="D121" s="41" t="n">
        <v>46243</v>
      </c>
      <c r="E121" s="40" t="s">
        <v>26</v>
      </c>
      <c r="F121" s="40" t="s">
        <v>16</v>
      </c>
      <c r="G121" s="42" t="s">
        <v>16</v>
      </c>
      <c r="H121" s="40" t="s">
        <v>11</v>
      </c>
      <c r="I121" s="40" t="s">
        <v>11</v>
      </c>
      <c r="J121" s="40" t="s">
        <v>11</v>
      </c>
      <c r="K121" s="40" t="s">
        <v>78</v>
      </c>
      <c r="L121" s="42" t="s">
        <v>476</v>
      </c>
      <c r="M121" s="43" t="n">
        <v>13.0337078651685</v>
      </c>
      <c r="N121" s="44" t="n">
        <v>1160000</v>
      </c>
      <c r="O121" s="45" t="n">
        <v>89000</v>
      </c>
      <c r="P121" s="40" t="s">
        <v>465</v>
      </c>
      <c r="Q121" s="40" t="s">
        <v>477</v>
      </c>
      <c r="R121" s="42" t="s">
        <v>137</v>
      </c>
      <c r="S121" s="40" t="n">
        <v>1</v>
      </c>
      <c r="T121" s="40" t="n">
        <v>1</v>
      </c>
      <c r="U121" s="0" t="n">
        <f aca="false">IF(AND(OR('Daily Profitability'!$E$3="All",ISNUMBER(SEARCH('Daily Profitability'!$E$3,F121))),OR('Daily Profitability'!$H$3="All",I121='Daily Profitability'!$H$3),OR('Daily Profitability'!$K$3="All",J121='Daily Profitability'!$K$3),OR('Daily Profitability'!$N$3="All",K121='Daily Profitability'!$N$3)),1,0)</f>
        <v>1</v>
      </c>
    </row>
    <row r="122" customFormat="false" ht="15" hidden="false" customHeight="false" outlineLevel="0" collapsed="false">
      <c r="A122" s="40" t="s">
        <v>478</v>
      </c>
      <c r="B122" s="40" t="s">
        <v>479</v>
      </c>
      <c r="C122" s="40" t="s">
        <v>480</v>
      </c>
      <c r="D122" s="41" t="n">
        <v>46243</v>
      </c>
      <c r="E122" s="40" t="s">
        <v>26</v>
      </c>
      <c r="F122" s="40" t="s">
        <v>16</v>
      </c>
      <c r="G122" s="42" t="s">
        <v>16</v>
      </c>
      <c r="H122" s="40" t="s">
        <v>481</v>
      </c>
      <c r="I122" s="40" t="s">
        <v>11</v>
      </c>
      <c r="J122" s="40" t="s">
        <v>11</v>
      </c>
      <c r="K122" s="40" t="s">
        <v>78</v>
      </c>
      <c r="L122" s="42" t="s">
        <v>482</v>
      </c>
      <c r="M122" s="43" t="n">
        <v>19.452808988764</v>
      </c>
      <c r="N122" s="44" t="n">
        <v>1731300</v>
      </c>
      <c r="O122" s="45" t="n">
        <v>89000</v>
      </c>
      <c r="P122" s="40" t="s">
        <v>465</v>
      </c>
      <c r="Q122" s="40" t="s">
        <v>483</v>
      </c>
      <c r="R122" s="42" t="s">
        <v>137</v>
      </c>
      <c r="S122" s="40" t="n">
        <v>1</v>
      </c>
      <c r="T122" s="40" t="n">
        <v>1</v>
      </c>
      <c r="U122" s="0" t="n">
        <f aca="false">IF(AND(OR('Daily Profitability'!$E$3="All",ISNUMBER(SEARCH('Daily Profitability'!$E$3,F122))),OR('Daily Profitability'!$H$3="All",I122='Daily Profitability'!$H$3),OR('Daily Profitability'!$K$3="All",J122='Daily Profitability'!$K$3),OR('Daily Profitability'!$N$3="All",K122='Daily Profitability'!$N$3)),1,0)</f>
        <v>1</v>
      </c>
    </row>
    <row r="123" customFormat="false" ht="15" hidden="false" customHeight="false" outlineLevel="0" collapsed="false">
      <c r="A123" s="40" t="s">
        <v>484</v>
      </c>
      <c r="B123" s="40" t="s">
        <v>479</v>
      </c>
      <c r="C123" s="40" t="s">
        <v>480</v>
      </c>
      <c r="D123" s="41" t="n">
        <v>46243</v>
      </c>
      <c r="E123" s="40" t="s">
        <v>26</v>
      </c>
      <c r="F123" s="40" t="s">
        <v>485</v>
      </c>
      <c r="G123" s="42" t="s">
        <v>16</v>
      </c>
      <c r="H123" s="40" t="s">
        <v>486</v>
      </c>
      <c r="I123" s="40" t="s">
        <v>55</v>
      </c>
      <c r="J123" s="40" t="s">
        <v>29</v>
      </c>
      <c r="K123" s="40" t="s">
        <v>78</v>
      </c>
      <c r="L123" s="42" t="s">
        <v>487</v>
      </c>
      <c r="M123" s="43" t="n">
        <v>8.56179775280899</v>
      </c>
      <c r="N123" s="44" t="n">
        <v>762000</v>
      </c>
      <c r="O123" s="45" t="n">
        <v>89000</v>
      </c>
      <c r="P123" s="40" t="s">
        <v>465</v>
      </c>
      <c r="Q123" s="40" t="s">
        <v>488</v>
      </c>
      <c r="R123" s="42" t="s">
        <v>137</v>
      </c>
      <c r="S123" s="40" t="n">
        <v>1</v>
      </c>
      <c r="T123" s="40" t="n">
        <v>0</v>
      </c>
      <c r="U123" s="0" t="n">
        <f aca="false">IF(AND(OR('Daily Profitability'!$E$3="All",ISNUMBER(SEARCH('Daily Profitability'!$E$3,F123))),OR('Daily Profitability'!$H$3="All",I123='Daily Profitability'!$H$3),OR('Daily Profitability'!$K$3="All",J123='Daily Profitability'!$K$3),OR('Daily Profitability'!$N$3="All",K123='Daily Profitability'!$N$3)),1,0)</f>
        <v>0</v>
      </c>
    </row>
    <row r="124" customFormat="false" ht="15" hidden="false" customHeight="false" outlineLevel="0" collapsed="false">
      <c r="A124" s="40" t="s">
        <v>489</v>
      </c>
      <c r="B124" s="40" t="s">
        <v>479</v>
      </c>
      <c r="C124" s="40" t="s">
        <v>480</v>
      </c>
      <c r="D124" s="41" t="n">
        <v>46243</v>
      </c>
      <c r="E124" s="40" t="s">
        <v>26</v>
      </c>
      <c r="F124" s="40" t="s">
        <v>16</v>
      </c>
      <c r="G124" s="42" t="s">
        <v>16</v>
      </c>
      <c r="H124" s="40" t="s">
        <v>392</v>
      </c>
      <c r="I124" s="40" t="s">
        <v>52</v>
      </c>
      <c r="J124" s="40" t="s">
        <v>56</v>
      </c>
      <c r="K124" s="40" t="s">
        <v>78</v>
      </c>
      <c r="L124" s="42" t="s">
        <v>490</v>
      </c>
      <c r="M124" s="43" t="n">
        <v>15.3370786516854</v>
      </c>
      <c r="N124" s="44" t="n">
        <v>1365000</v>
      </c>
      <c r="O124" s="45" t="n">
        <v>88999.9999999999</v>
      </c>
      <c r="P124" s="40" t="s">
        <v>465</v>
      </c>
      <c r="Q124" s="40" t="s">
        <v>491</v>
      </c>
      <c r="R124" s="42" t="s">
        <v>137</v>
      </c>
      <c r="S124" s="40" t="n">
        <v>1</v>
      </c>
      <c r="T124" s="40" t="n">
        <v>0</v>
      </c>
      <c r="U124" s="0" t="n">
        <f aca="false">IF(AND(OR('Daily Profitability'!$E$3="All",ISNUMBER(SEARCH('Daily Profitability'!$E$3,F124))),OR('Daily Profitability'!$H$3="All",I124='Daily Profitability'!$H$3),OR('Daily Profitability'!$K$3="All",J124='Daily Profitability'!$K$3),OR('Daily Profitability'!$N$3="All",K124='Daily Profitability'!$N$3)),1,0)</f>
        <v>0</v>
      </c>
    </row>
    <row r="125" customFormat="false" ht="15" hidden="false" customHeight="false" outlineLevel="0" collapsed="false">
      <c r="A125" s="40" t="s">
        <v>492</v>
      </c>
      <c r="B125" s="40" t="s">
        <v>493</v>
      </c>
      <c r="C125" s="40" t="s">
        <v>494</v>
      </c>
      <c r="D125" s="41" t="n">
        <v>46243</v>
      </c>
      <c r="E125" s="40" t="s">
        <v>26</v>
      </c>
      <c r="F125" s="40" t="s">
        <v>16</v>
      </c>
      <c r="G125" s="42" t="s">
        <v>16</v>
      </c>
      <c r="H125" s="40" t="s">
        <v>11</v>
      </c>
      <c r="I125" s="40" t="s">
        <v>11</v>
      </c>
      <c r="J125" s="40" t="s">
        <v>11</v>
      </c>
      <c r="K125" s="40" t="s">
        <v>78</v>
      </c>
      <c r="L125" s="42" t="s">
        <v>495</v>
      </c>
      <c r="M125" s="43" t="n">
        <v>20.6629213483146</v>
      </c>
      <c r="N125" s="44" t="n">
        <v>1839000</v>
      </c>
      <c r="O125" s="45" t="n">
        <v>89000</v>
      </c>
      <c r="P125" s="40" t="s">
        <v>465</v>
      </c>
      <c r="Q125" s="40" t="s">
        <v>496</v>
      </c>
      <c r="R125" s="42" t="s">
        <v>137</v>
      </c>
      <c r="S125" s="40" t="n">
        <v>1</v>
      </c>
      <c r="T125" s="40" t="n">
        <v>1</v>
      </c>
      <c r="U125" s="0" t="n">
        <f aca="false">IF(AND(OR('Daily Profitability'!$E$3="All",ISNUMBER(SEARCH('Daily Profitability'!$E$3,F125))),OR('Daily Profitability'!$H$3="All",I125='Daily Profitability'!$H$3),OR('Daily Profitability'!$K$3="All",J125='Daily Profitability'!$K$3),OR('Daily Profitability'!$N$3="All",K125='Daily Profitability'!$N$3)),1,0)</f>
        <v>1</v>
      </c>
    </row>
    <row r="126" customFormat="false" ht="15" hidden="false" customHeight="false" outlineLevel="0" collapsed="false">
      <c r="A126" s="40" t="s">
        <v>497</v>
      </c>
      <c r="B126" s="40" t="s">
        <v>498</v>
      </c>
      <c r="C126" s="40" t="s">
        <v>499</v>
      </c>
      <c r="D126" s="41" t="n">
        <v>46243</v>
      </c>
      <c r="E126" s="40" t="s">
        <v>26</v>
      </c>
      <c r="F126" s="40" t="s">
        <v>16</v>
      </c>
      <c r="G126" s="42" t="s">
        <v>16</v>
      </c>
      <c r="H126" s="40" t="s">
        <v>11</v>
      </c>
      <c r="I126" s="40" t="s">
        <v>11</v>
      </c>
      <c r="J126" s="40" t="s">
        <v>11</v>
      </c>
      <c r="K126" s="40" t="s">
        <v>78</v>
      </c>
      <c r="L126" s="42" t="s">
        <v>320</v>
      </c>
      <c r="M126" s="43" t="n">
        <v>8.93258426966292</v>
      </c>
      <c r="N126" s="44" t="n">
        <v>795000</v>
      </c>
      <c r="O126" s="45" t="n">
        <v>89000</v>
      </c>
      <c r="P126" s="40" t="s">
        <v>465</v>
      </c>
      <c r="Q126" s="40" t="s">
        <v>500</v>
      </c>
      <c r="R126" s="42" t="s">
        <v>137</v>
      </c>
      <c r="S126" s="40" t="n">
        <v>1</v>
      </c>
      <c r="T126" s="40" t="n">
        <v>1</v>
      </c>
      <c r="U126" s="0" t="n">
        <f aca="false">IF(AND(OR('Daily Profitability'!$E$3="All",ISNUMBER(SEARCH('Daily Profitability'!$E$3,F126))),OR('Daily Profitability'!$H$3="All",I126='Daily Profitability'!$H$3),OR('Daily Profitability'!$K$3="All",J126='Daily Profitability'!$K$3),OR('Daily Profitability'!$N$3="All",K126='Daily Profitability'!$N$3)),1,0)</f>
        <v>1</v>
      </c>
    </row>
    <row r="127" customFormat="false" ht="15" hidden="false" customHeight="false" outlineLevel="0" collapsed="false">
      <c r="A127" s="40" t="s">
        <v>501</v>
      </c>
      <c r="B127" s="40" t="s">
        <v>502</v>
      </c>
      <c r="C127" s="40" t="s">
        <v>503</v>
      </c>
      <c r="D127" s="41" t="n">
        <v>46243</v>
      </c>
      <c r="E127" s="40" t="s">
        <v>26</v>
      </c>
      <c r="F127" s="40" t="s">
        <v>485</v>
      </c>
      <c r="G127" s="42" t="s">
        <v>16</v>
      </c>
      <c r="H127" s="40" t="s">
        <v>486</v>
      </c>
      <c r="I127" s="40" t="s">
        <v>55</v>
      </c>
      <c r="J127" s="40" t="s">
        <v>29</v>
      </c>
      <c r="K127" s="40" t="s">
        <v>78</v>
      </c>
      <c r="L127" s="42" t="s">
        <v>504</v>
      </c>
      <c r="M127" s="43" t="n">
        <v>5.1685393258427</v>
      </c>
      <c r="N127" s="44" t="n">
        <v>460000</v>
      </c>
      <c r="O127" s="45" t="n">
        <v>88999.9999999999</v>
      </c>
      <c r="P127" s="40" t="s">
        <v>465</v>
      </c>
      <c r="Q127" s="40" t="s">
        <v>197</v>
      </c>
      <c r="R127" s="42" t="s">
        <v>137</v>
      </c>
      <c r="S127" s="40" t="n">
        <v>1</v>
      </c>
      <c r="T127" s="40" t="n">
        <v>1</v>
      </c>
      <c r="U127" s="0" t="n">
        <f aca="false">IF(AND(OR('Daily Profitability'!$E$3="All",ISNUMBER(SEARCH('Daily Profitability'!$E$3,F127))),OR('Daily Profitability'!$H$3="All",I127='Daily Profitability'!$H$3),OR('Daily Profitability'!$K$3="All",J127='Daily Profitability'!$K$3),OR('Daily Profitability'!$N$3="All",K127='Daily Profitability'!$N$3)),1,0)</f>
        <v>0</v>
      </c>
    </row>
    <row r="128" customFormat="false" ht="23.85" hidden="false" customHeight="false" outlineLevel="0" collapsed="false">
      <c r="A128" s="40" t="s">
        <v>505</v>
      </c>
      <c r="B128" s="40" t="s">
        <v>506</v>
      </c>
      <c r="C128" s="40" t="s">
        <v>507</v>
      </c>
      <c r="D128" s="41" t="n">
        <v>46243</v>
      </c>
      <c r="E128" s="40" t="s">
        <v>26</v>
      </c>
      <c r="F128" s="40" t="s">
        <v>16</v>
      </c>
      <c r="G128" s="42" t="s">
        <v>16</v>
      </c>
      <c r="H128" s="40" t="s">
        <v>11</v>
      </c>
      <c r="I128" s="40" t="s">
        <v>11</v>
      </c>
      <c r="J128" s="40" t="s">
        <v>11</v>
      </c>
      <c r="K128" s="40" t="s">
        <v>78</v>
      </c>
      <c r="L128" s="42" t="s">
        <v>320</v>
      </c>
      <c r="M128" s="43" t="n">
        <v>1.74438202247191</v>
      </c>
      <c r="N128" s="44" t="n">
        <v>155250</v>
      </c>
      <c r="O128" s="45" t="n">
        <v>89000</v>
      </c>
      <c r="P128" s="40" t="s">
        <v>465</v>
      </c>
      <c r="Q128" s="40" t="s">
        <v>230</v>
      </c>
      <c r="R128" s="42" t="s">
        <v>508</v>
      </c>
      <c r="S128" s="40" t="n">
        <v>1</v>
      </c>
      <c r="T128" s="40" t="n">
        <v>1</v>
      </c>
      <c r="U128" s="0" t="n">
        <f aca="false">IF(AND(OR('Daily Profitability'!$E$3="All",ISNUMBER(SEARCH('Daily Profitability'!$E$3,F128))),OR('Daily Profitability'!$H$3="All",I128='Daily Profitability'!$H$3),OR('Daily Profitability'!$K$3="All",J128='Daily Profitability'!$K$3),OR('Daily Profitability'!$N$3="All",K128='Daily Profitability'!$N$3)),1,0)</f>
        <v>1</v>
      </c>
    </row>
    <row r="129" customFormat="false" ht="23.85" hidden="false" customHeight="false" outlineLevel="0" collapsed="false">
      <c r="A129" s="40" t="s">
        <v>509</v>
      </c>
      <c r="B129" s="40" t="s">
        <v>510</v>
      </c>
      <c r="C129" s="40" t="s">
        <v>126</v>
      </c>
      <c r="D129" s="41" t="n">
        <v>46243</v>
      </c>
      <c r="E129" s="40" t="s">
        <v>26</v>
      </c>
      <c r="F129" s="40" t="s">
        <v>16</v>
      </c>
      <c r="G129" s="42" t="s">
        <v>16</v>
      </c>
      <c r="H129" s="40" t="s">
        <v>11</v>
      </c>
      <c r="I129" s="40" t="s">
        <v>11</v>
      </c>
      <c r="J129" s="40" t="s">
        <v>11</v>
      </c>
      <c r="K129" s="40" t="s">
        <v>35</v>
      </c>
      <c r="L129" s="42" t="s">
        <v>511</v>
      </c>
      <c r="M129" s="43" t="n">
        <v>38.38</v>
      </c>
      <c r="N129" s="44" t="n">
        <v>0</v>
      </c>
      <c r="O129" s="45"/>
      <c r="P129" s="40" t="s">
        <v>465</v>
      </c>
      <c r="Q129" s="40" t="s">
        <v>200</v>
      </c>
      <c r="R129" s="42" t="s">
        <v>512</v>
      </c>
      <c r="S129" s="40" t="n">
        <v>1</v>
      </c>
      <c r="T129" s="40" t="n">
        <v>1</v>
      </c>
      <c r="U129" s="0" t="n">
        <f aca="false">IF(AND(OR('Daily Profitability'!$E$3="All",ISNUMBER(SEARCH('Daily Profitability'!$E$3,F129))),OR('Daily Profitability'!$H$3="All",I129='Daily Profitability'!$H$3),OR('Daily Profitability'!$K$3="All",J129='Daily Profitability'!$K$3),OR('Daily Profitability'!$N$3="All",K129='Daily Profitability'!$N$3)),1,0)</f>
        <v>1</v>
      </c>
    </row>
    <row r="130" customFormat="false" ht="23.85" hidden="false" customHeight="false" outlineLevel="0" collapsed="false">
      <c r="A130" s="40" t="s">
        <v>513</v>
      </c>
      <c r="B130" s="40" t="s">
        <v>514</v>
      </c>
      <c r="C130" s="40" t="s">
        <v>126</v>
      </c>
      <c r="D130" s="41" t="n">
        <v>46243</v>
      </c>
      <c r="E130" s="40" t="s">
        <v>26</v>
      </c>
      <c r="F130" s="40" t="s">
        <v>16</v>
      </c>
      <c r="G130" s="42" t="s">
        <v>16</v>
      </c>
      <c r="H130" s="40" t="s">
        <v>11</v>
      </c>
      <c r="I130" s="40" t="s">
        <v>11</v>
      </c>
      <c r="J130" s="40" t="s">
        <v>11</v>
      </c>
      <c r="K130" s="40" t="s">
        <v>35</v>
      </c>
      <c r="L130" s="42" t="s">
        <v>515</v>
      </c>
      <c r="M130" s="43" t="n">
        <v>36.09</v>
      </c>
      <c r="N130" s="44" t="n">
        <v>0</v>
      </c>
      <c r="O130" s="45"/>
      <c r="P130" s="40" t="s">
        <v>465</v>
      </c>
      <c r="Q130" s="40" t="s">
        <v>516</v>
      </c>
      <c r="R130" s="42" t="s">
        <v>512</v>
      </c>
      <c r="S130" s="40" t="n">
        <v>1</v>
      </c>
      <c r="T130" s="40" t="n">
        <v>1</v>
      </c>
      <c r="U130" s="0" t="n">
        <f aca="false">IF(AND(OR('Daily Profitability'!$E$3="All",ISNUMBER(SEARCH('Daily Profitability'!$E$3,F130))),OR('Daily Profitability'!$H$3="All",I130='Daily Profitability'!$H$3),OR('Daily Profitability'!$K$3="All",J130='Daily Profitability'!$K$3),OR('Daily Profitability'!$N$3="All",K130='Daily Profitability'!$N$3)),1,0)</f>
        <v>1</v>
      </c>
    </row>
    <row r="131" customFormat="false" ht="23.85" hidden="false" customHeight="false" outlineLevel="0" collapsed="false">
      <c r="A131" s="40" t="s">
        <v>517</v>
      </c>
      <c r="B131" s="40" t="s">
        <v>518</v>
      </c>
      <c r="C131" s="40" t="s">
        <v>519</v>
      </c>
      <c r="D131" s="41" t="n">
        <v>46243</v>
      </c>
      <c r="E131" s="40" t="s">
        <v>26</v>
      </c>
      <c r="F131" s="40" t="s">
        <v>16</v>
      </c>
      <c r="G131" s="42" t="s">
        <v>16</v>
      </c>
      <c r="H131" s="40" t="s">
        <v>11</v>
      </c>
      <c r="I131" s="40" t="s">
        <v>11</v>
      </c>
      <c r="J131" s="40" t="s">
        <v>11</v>
      </c>
      <c r="K131" s="40" t="s">
        <v>88</v>
      </c>
      <c r="L131" s="42" t="s">
        <v>520</v>
      </c>
      <c r="M131" s="43" t="n">
        <v>37.8865555555556</v>
      </c>
      <c r="N131" s="44" t="n">
        <v>3409790</v>
      </c>
      <c r="O131" s="45" t="n">
        <v>90000</v>
      </c>
      <c r="P131" s="40" t="s">
        <v>465</v>
      </c>
      <c r="Q131" s="40" t="s">
        <v>521</v>
      </c>
      <c r="R131" s="42" t="s">
        <v>508</v>
      </c>
      <c r="S131" s="40" t="n">
        <v>1</v>
      </c>
      <c r="T131" s="40" t="n">
        <v>1</v>
      </c>
      <c r="U131" s="0" t="n">
        <f aca="false">IF(AND(OR('Daily Profitability'!$E$3="All",ISNUMBER(SEARCH('Daily Profitability'!$E$3,F131))),OR('Daily Profitability'!$H$3="All",I131='Daily Profitability'!$H$3),OR('Daily Profitability'!$K$3="All",J131='Daily Profitability'!$K$3),OR('Daily Profitability'!$N$3="All",K131='Daily Profitability'!$N$3)),1,0)</f>
        <v>1</v>
      </c>
    </row>
    <row r="132" customFormat="false" ht="15" hidden="false" customHeight="false" outlineLevel="0" collapsed="false">
      <c r="A132" s="40" t="s">
        <v>522</v>
      </c>
      <c r="B132" s="40" t="s">
        <v>523</v>
      </c>
      <c r="C132" s="40" t="s">
        <v>524</v>
      </c>
      <c r="D132" s="41" t="n">
        <v>46246</v>
      </c>
      <c r="E132" s="40" t="s">
        <v>26</v>
      </c>
      <c r="F132" s="40" t="s">
        <v>16</v>
      </c>
      <c r="G132" s="42" t="s">
        <v>16</v>
      </c>
      <c r="H132" s="40" t="s">
        <v>11</v>
      </c>
      <c r="I132" s="40" t="s">
        <v>11</v>
      </c>
      <c r="J132" s="40" t="s">
        <v>11</v>
      </c>
      <c r="K132" s="40" t="s">
        <v>37</v>
      </c>
      <c r="L132" s="42" t="s">
        <v>525</v>
      </c>
      <c r="M132" s="43" t="n">
        <v>8.24166666666667</v>
      </c>
      <c r="N132" s="44" t="n">
        <v>741750</v>
      </c>
      <c r="O132" s="45" t="n">
        <v>90000</v>
      </c>
      <c r="P132" s="40" t="s">
        <v>526</v>
      </c>
      <c r="Q132" s="40" t="s">
        <v>136</v>
      </c>
      <c r="R132" s="42" t="s">
        <v>137</v>
      </c>
      <c r="S132" s="40" t="n">
        <v>1</v>
      </c>
      <c r="T132" s="40" t="n">
        <v>1</v>
      </c>
      <c r="U132" s="0" t="n">
        <f aca="false">IF(AND(OR('Daily Profitability'!$E$3="All",ISNUMBER(SEARCH('Daily Profitability'!$E$3,F132))),OR('Daily Profitability'!$H$3="All",I132='Daily Profitability'!$H$3),OR('Daily Profitability'!$K$3="All",J132='Daily Profitability'!$K$3),OR('Daily Profitability'!$N$3="All",K132='Daily Profitability'!$N$3)),1,0)</f>
        <v>1</v>
      </c>
    </row>
    <row r="133" customFormat="false" ht="15" hidden="false" customHeight="false" outlineLevel="0" collapsed="false">
      <c r="A133" s="40" t="s">
        <v>527</v>
      </c>
      <c r="B133" s="40" t="s">
        <v>528</v>
      </c>
      <c r="C133" s="40" t="s">
        <v>529</v>
      </c>
      <c r="D133" s="41" t="n">
        <v>46246</v>
      </c>
      <c r="E133" s="40" t="s">
        <v>26</v>
      </c>
      <c r="F133" s="40" t="s">
        <v>470</v>
      </c>
      <c r="G133" s="42" t="s">
        <v>380</v>
      </c>
      <c r="H133" s="40" t="s">
        <v>471</v>
      </c>
      <c r="I133" s="40" t="s">
        <v>11</v>
      </c>
      <c r="J133" s="40" t="s">
        <v>11</v>
      </c>
      <c r="K133" s="40" t="s">
        <v>85</v>
      </c>
      <c r="L133" s="42" t="s">
        <v>530</v>
      </c>
      <c r="M133" s="43" t="n">
        <v>127</v>
      </c>
      <c r="N133" s="44" t="n">
        <v>0</v>
      </c>
      <c r="O133" s="45"/>
      <c r="P133" s="40" t="s">
        <v>526</v>
      </c>
      <c r="Q133" s="40" t="s">
        <v>144</v>
      </c>
      <c r="R133" s="42" t="s">
        <v>137</v>
      </c>
      <c r="S133" s="40" t="n">
        <v>1</v>
      </c>
      <c r="T133" s="40" t="n">
        <v>1</v>
      </c>
      <c r="U133" s="0" t="n">
        <f aca="false">IF(AND(OR('Daily Profitability'!$E$3="All",ISNUMBER(SEARCH('Daily Profitability'!$E$3,F133))),OR('Daily Profitability'!$H$3="All",I133='Daily Profitability'!$H$3),OR('Daily Profitability'!$K$3="All",J133='Daily Profitability'!$K$3),OR('Daily Profitability'!$N$3="All",K133='Daily Profitability'!$N$3)),1,0)</f>
        <v>1</v>
      </c>
    </row>
    <row r="134" customFormat="false" ht="15" hidden="false" customHeight="false" outlineLevel="0" collapsed="false">
      <c r="A134" s="40" t="s">
        <v>531</v>
      </c>
      <c r="B134" s="40" t="s">
        <v>532</v>
      </c>
      <c r="C134" s="40" t="s">
        <v>533</v>
      </c>
      <c r="D134" s="41" t="n">
        <v>46246</v>
      </c>
      <c r="E134" s="40" t="s">
        <v>26</v>
      </c>
      <c r="F134" s="40" t="s">
        <v>534</v>
      </c>
      <c r="G134" s="42" t="s">
        <v>535</v>
      </c>
      <c r="H134" s="40" t="s">
        <v>536</v>
      </c>
      <c r="I134" s="40" t="s">
        <v>55</v>
      </c>
      <c r="J134" s="40" t="s">
        <v>29</v>
      </c>
      <c r="K134" s="40" t="s">
        <v>79</v>
      </c>
      <c r="L134" s="42" t="s">
        <v>537</v>
      </c>
      <c r="M134" s="43" t="n">
        <v>100</v>
      </c>
      <c r="N134" s="44" t="n">
        <v>0</v>
      </c>
      <c r="O134" s="45"/>
      <c r="P134" s="40" t="s">
        <v>526</v>
      </c>
      <c r="Q134" s="40" t="s">
        <v>147</v>
      </c>
      <c r="R134" s="42" t="s">
        <v>137</v>
      </c>
      <c r="S134" s="40" t="n">
        <v>1</v>
      </c>
      <c r="T134" s="40" t="n">
        <v>1</v>
      </c>
      <c r="U134" s="0" t="n">
        <f aca="false">IF(AND(OR('Daily Profitability'!$E$3="All",ISNUMBER(SEARCH('Daily Profitability'!$E$3,F134))),OR('Daily Profitability'!$H$3="All",I134='Daily Profitability'!$H$3),OR('Daily Profitability'!$K$3="All",J134='Daily Profitability'!$K$3),OR('Daily Profitability'!$N$3="All",K134='Daily Profitability'!$N$3)),1,0)</f>
        <v>0</v>
      </c>
    </row>
    <row r="135" customFormat="false" ht="15" hidden="false" customHeight="false" outlineLevel="0" collapsed="false">
      <c r="A135" s="40" t="s">
        <v>538</v>
      </c>
      <c r="B135" s="40" t="s">
        <v>539</v>
      </c>
      <c r="C135" s="40" t="s">
        <v>540</v>
      </c>
      <c r="D135" s="41" t="n">
        <v>46246</v>
      </c>
      <c r="E135" s="40" t="s">
        <v>26</v>
      </c>
      <c r="F135" s="40" t="s">
        <v>16</v>
      </c>
      <c r="G135" s="42" t="s">
        <v>16</v>
      </c>
      <c r="H135" s="40" t="s">
        <v>11</v>
      </c>
      <c r="I135" s="40" t="s">
        <v>11</v>
      </c>
      <c r="J135" s="40" t="s">
        <v>11</v>
      </c>
      <c r="K135" s="40" t="s">
        <v>44</v>
      </c>
      <c r="L135" s="42" t="s">
        <v>541</v>
      </c>
      <c r="M135" s="43" t="n">
        <v>34.6111111111111</v>
      </c>
      <c r="N135" s="44" t="n">
        <v>3115000</v>
      </c>
      <c r="O135" s="45" t="n">
        <v>90000</v>
      </c>
      <c r="P135" s="40" t="s">
        <v>526</v>
      </c>
      <c r="Q135" s="40" t="s">
        <v>542</v>
      </c>
      <c r="R135" s="42" t="s">
        <v>137</v>
      </c>
      <c r="S135" s="40" t="n">
        <v>1</v>
      </c>
      <c r="T135" s="40" t="n">
        <v>1</v>
      </c>
      <c r="U135" s="0" t="n">
        <f aca="false">IF(AND(OR('Daily Profitability'!$E$3="All",ISNUMBER(SEARCH('Daily Profitability'!$E$3,F135))),OR('Daily Profitability'!$H$3="All",I135='Daily Profitability'!$H$3),OR('Daily Profitability'!$K$3="All",J135='Daily Profitability'!$K$3),OR('Daily Profitability'!$N$3="All",K135='Daily Profitability'!$N$3)),1,0)</f>
        <v>1</v>
      </c>
    </row>
    <row r="136" customFormat="false" ht="15" hidden="false" customHeight="false" outlineLevel="0" collapsed="false">
      <c r="A136" s="40" t="s">
        <v>543</v>
      </c>
      <c r="B136" s="40" t="s">
        <v>544</v>
      </c>
      <c r="C136" s="40" t="s">
        <v>269</v>
      </c>
      <c r="D136" s="41" t="n">
        <v>46246</v>
      </c>
      <c r="E136" s="40" t="s">
        <v>26</v>
      </c>
      <c r="F136" s="40" t="s">
        <v>534</v>
      </c>
      <c r="G136" s="42" t="s">
        <v>535</v>
      </c>
      <c r="H136" s="40" t="s">
        <v>536</v>
      </c>
      <c r="I136" s="40" t="s">
        <v>55</v>
      </c>
      <c r="J136" s="40" t="s">
        <v>29</v>
      </c>
      <c r="K136" s="40" t="s">
        <v>44</v>
      </c>
      <c r="L136" s="42" t="s">
        <v>545</v>
      </c>
      <c r="M136" s="43" t="n">
        <v>12</v>
      </c>
      <c r="N136" s="44" t="n">
        <v>0</v>
      </c>
      <c r="O136" s="45"/>
      <c r="P136" s="40" t="s">
        <v>526</v>
      </c>
      <c r="Q136" s="40" t="s">
        <v>151</v>
      </c>
      <c r="R136" s="42" t="s">
        <v>137</v>
      </c>
      <c r="S136" s="40" t="n">
        <v>1</v>
      </c>
      <c r="T136" s="40" t="n">
        <v>1</v>
      </c>
      <c r="U136" s="0" t="n">
        <f aca="false">IF(AND(OR('Daily Profitability'!$E$3="All",ISNUMBER(SEARCH('Daily Profitability'!$E$3,F136))),OR('Daily Profitability'!$H$3="All",I136='Daily Profitability'!$H$3),OR('Daily Profitability'!$K$3="All",J136='Daily Profitability'!$K$3),OR('Daily Profitability'!$N$3="All",K136='Daily Profitability'!$N$3)),1,0)</f>
        <v>0</v>
      </c>
    </row>
    <row r="137" customFormat="false" ht="15" hidden="false" customHeight="false" outlineLevel="0" collapsed="false">
      <c r="A137" s="40" t="s">
        <v>546</v>
      </c>
      <c r="B137" s="40" t="s">
        <v>547</v>
      </c>
      <c r="C137" s="40" t="s">
        <v>548</v>
      </c>
      <c r="D137" s="41" t="n">
        <v>46246</v>
      </c>
      <c r="E137" s="40" t="s">
        <v>26</v>
      </c>
      <c r="F137" s="40" t="s">
        <v>16</v>
      </c>
      <c r="G137" s="42" t="s">
        <v>16</v>
      </c>
      <c r="H137" s="40" t="s">
        <v>11</v>
      </c>
      <c r="I137" s="40" t="s">
        <v>11</v>
      </c>
      <c r="J137" s="40" t="s">
        <v>11</v>
      </c>
      <c r="K137" s="40" t="s">
        <v>78</v>
      </c>
      <c r="L137" s="42" t="s">
        <v>549</v>
      </c>
      <c r="M137" s="43" t="n">
        <v>110</v>
      </c>
      <c r="N137" s="44" t="n">
        <v>0</v>
      </c>
      <c r="O137" s="45"/>
      <c r="P137" s="40" t="s">
        <v>526</v>
      </c>
      <c r="Q137" s="40" t="s">
        <v>192</v>
      </c>
      <c r="R137" s="42" t="s">
        <v>137</v>
      </c>
      <c r="S137" s="40" t="n">
        <v>1</v>
      </c>
      <c r="T137" s="40" t="n">
        <v>1</v>
      </c>
      <c r="U137" s="0" t="n">
        <f aca="false">IF(AND(OR('Daily Profitability'!$E$3="All",ISNUMBER(SEARCH('Daily Profitability'!$E$3,F137))),OR('Daily Profitability'!$H$3="All",I137='Daily Profitability'!$H$3),OR('Daily Profitability'!$K$3="All",J137='Daily Profitability'!$K$3),OR('Daily Profitability'!$N$3="All",K137='Daily Profitability'!$N$3)),1,0)</f>
        <v>1</v>
      </c>
    </row>
    <row r="138" customFormat="false" ht="15" hidden="false" customHeight="false" outlineLevel="0" collapsed="false">
      <c r="A138" s="40" t="s">
        <v>550</v>
      </c>
      <c r="B138" s="40" t="s">
        <v>551</v>
      </c>
      <c r="C138" s="40" t="s">
        <v>126</v>
      </c>
      <c r="D138" s="41" t="n">
        <v>46246</v>
      </c>
      <c r="E138" s="40" t="s">
        <v>26</v>
      </c>
      <c r="F138" s="40" t="s">
        <v>16</v>
      </c>
      <c r="G138" s="42" t="s">
        <v>16</v>
      </c>
      <c r="H138" s="40" t="s">
        <v>552</v>
      </c>
      <c r="I138" s="40" t="s">
        <v>11</v>
      </c>
      <c r="J138" s="40" t="s">
        <v>11</v>
      </c>
      <c r="K138" s="40" t="s">
        <v>86</v>
      </c>
      <c r="L138" s="42" t="s">
        <v>553</v>
      </c>
      <c r="M138" s="43" t="n">
        <v>22.1507222222222</v>
      </c>
      <c r="N138" s="44" t="n">
        <v>1993565</v>
      </c>
      <c r="O138" s="45" t="n">
        <v>90000</v>
      </c>
      <c r="P138" s="40" t="s">
        <v>526</v>
      </c>
      <c r="Q138" s="40" t="s">
        <v>554</v>
      </c>
      <c r="R138" s="42" t="s">
        <v>402</v>
      </c>
      <c r="S138" s="40" t="n">
        <v>1</v>
      </c>
      <c r="T138" s="40" t="n">
        <v>1</v>
      </c>
      <c r="U138" s="0" t="n">
        <f aca="false">IF(AND(OR('Daily Profitability'!$E$3="All",ISNUMBER(SEARCH('Daily Profitability'!$E$3,F138))),OR('Daily Profitability'!$H$3="All",I138='Daily Profitability'!$H$3),OR('Daily Profitability'!$K$3="All",J138='Daily Profitability'!$K$3),OR('Daily Profitability'!$N$3="All",K138='Daily Profitability'!$N$3)),1,0)</f>
        <v>1</v>
      </c>
    </row>
    <row r="139" customFormat="false" ht="15" hidden="false" customHeight="false" outlineLevel="0" collapsed="false">
      <c r="A139" s="40" t="s">
        <v>555</v>
      </c>
      <c r="B139" s="40" t="s">
        <v>551</v>
      </c>
      <c r="C139" s="40" t="s">
        <v>126</v>
      </c>
      <c r="D139" s="41" t="n">
        <v>46246</v>
      </c>
      <c r="E139" s="40" t="s">
        <v>26</v>
      </c>
      <c r="F139" s="40" t="s">
        <v>534</v>
      </c>
      <c r="G139" s="42" t="s">
        <v>535</v>
      </c>
      <c r="H139" s="40" t="s">
        <v>536</v>
      </c>
      <c r="I139" s="40" t="s">
        <v>55</v>
      </c>
      <c r="J139" s="40" t="s">
        <v>29</v>
      </c>
      <c r="K139" s="40" t="s">
        <v>86</v>
      </c>
      <c r="L139" s="42" t="s">
        <v>556</v>
      </c>
      <c r="M139" s="43" t="n">
        <v>16.5789888888889</v>
      </c>
      <c r="N139" s="44" t="n">
        <v>1492109</v>
      </c>
      <c r="O139" s="45" t="n">
        <v>90000</v>
      </c>
      <c r="P139" s="40" t="s">
        <v>526</v>
      </c>
      <c r="Q139" s="40" t="s">
        <v>496</v>
      </c>
      <c r="R139" s="42" t="s">
        <v>402</v>
      </c>
      <c r="S139" s="40" t="n">
        <v>1</v>
      </c>
      <c r="T139" s="40" t="n">
        <v>0</v>
      </c>
      <c r="U139" s="0" t="n">
        <f aca="false">IF(AND(OR('Daily Profitability'!$E$3="All",ISNUMBER(SEARCH('Daily Profitability'!$E$3,F139))),OR('Daily Profitability'!$H$3="All",I139='Daily Profitability'!$H$3),OR('Daily Profitability'!$K$3="All",J139='Daily Profitability'!$K$3),OR('Daily Profitability'!$N$3="All",K139='Daily Profitability'!$N$3)),1,0)</f>
        <v>0</v>
      </c>
    </row>
    <row r="140" customFormat="false" ht="15" hidden="false" customHeight="false" outlineLevel="0" collapsed="false">
      <c r="A140" s="40" t="s">
        <v>557</v>
      </c>
      <c r="B140" s="40" t="s">
        <v>558</v>
      </c>
      <c r="C140" s="40" t="s">
        <v>559</v>
      </c>
      <c r="D140" s="41" t="n">
        <v>46246</v>
      </c>
      <c r="E140" s="40" t="s">
        <v>26</v>
      </c>
      <c r="F140" s="40" t="s">
        <v>534</v>
      </c>
      <c r="G140" s="42" t="s">
        <v>560</v>
      </c>
      <c r="H140" s="40" t="s">
        <v>536</v>
      </c>
      <c r="I140" s="40" t="s">
        <v>17</v>
      </c>
      <c r="J140" s="40" t="s">
        <v>18</v>
      </c>
      <c r="K140" s="40" t="s">
        <v>86</v>
      </c>
      <c r="L140" s="42" t="s">
        <v>561</v>
      </c>
      <c r="M140" s="43" t="n">
        <v>10.465</v>
      </c>
      <c r="N140" s="44" t="n">
        <v>941850</v>
      </c>
      <c r="O140" s="45" t="n">
        <v>90000</v>
      </c>
      <c r="P140" s="40" t="s">
        <v>526</v>
      </c>
      <c r="Q140" s="40" t="s">
        <v>197</v>
      </c>
      <c r="R140" s="42" t="s">
        <v>137</v>
      </c>
      <c r="S140" s="40" t="n">
        <v>1</v>
      </c>
      <c r="T140" s="40" t="n">
        <v>1</v>
      </c>
      <c r="U140" s="0" t="n">
        <f aca="false">IF(AND(OR('Daily Profitability'!$E$3="All",ISNUMBER(SEARCH('Daily Profitability'!$E$3,F140))),OR('Daily Profitability'!$H$3="All",I140='Daily Profitability'!$H$3),OR('Daily Profitability'!$K$3="All",J140='Daily Profitability'!$K$3),OR('Daily Profitability'!$N$3="All",K140='Daily Profitability'!$N$3)),1,0)</f>
        <v>0</v>
      </c>
    </row>
    <row r="141" customFormat="false" ht="15" hidden="false" customHeight="false" outlineLevel="0" collapsed="false">
      <c r="A141" s="40" t="s">
        <v>562</v>
      </c>
      <c r="B141" s="40" t="s">
        <v>558</v>
      </c>
      <c r="C141" s="40" t="s">
        <v>559</v>
      </c>
      <c r="D141" s="41" t="n">
        <v>46246</v>
      </c>
      <c r="E141" s="40" t="s">
        <v>26</v>
      </c>
      <c r="F141" s="40" t="s">
        <v>534</v>
      </c>
      <c r="G141" s="42" t="s">
        <v>535</v>
      </c>
      <c r="H141" s="40" t="s">
        <v>536</v>
      </c>
      <c r="I141" s="40" t="s">
        <v>55</v>
      </c>
      <c r="J141" s="40" t="s">
        <v>29</v>
      </c>
      <c r="K141" s="40" t="s">
        <v>86</v>
      </c>
      <c r="L141" s="42" t="s">
        <v>563</v>
      </c>
      <c r="M141" s="43" t="n">
        <v>47.8444444444444</v>
      </c>
      <c r="N141" s="44" t="n">
        <v>4306000</v>
      </c>
      <c r="O141" s="45" t="n">
        <v>90000.0000000001</v>
      </c>
      <c r="P141" s="40" t="s">
        <v>526</v>
      </c>
      <c r="Q141" s="40" t="s">
        <v>230</v>
      </c>
      <c r="R141" s="42" t="s">
        <v>137</v>
      </c>
      <c r="S141" s="40" t="n">
        <v>1</v>
      </c>
      <c r="T141" s="40" t="n">
        <v>0</v>
      </c>
      <c r="U141" s="0" t="n">
        <f aca="false">IF(AND(OR('Daily Profitability'!$E$3="All",ISNUMBER(SEARCH('Daily Profitability'!$E$3,F141))),OR('Daily Profitability'!$H$3="All",I141='Daily Profitability'!$H$3),OR('Daily Profitability'!$K$3="All",J141='Daily Profitability'!$K$3),OR('Daily Profitability'!$N$3="All",K141='Daily Profitability'!$N$3)),1,0)</f>
        <v>0</v>
      </c>
    </row>
    <row r="142" customFormat="false" ht="23.85" hidden="false" customHeight="false" outlineLevel="0" collapsed="false">
      <c r="A142" s="40" t="s">
        <v>564</v>
      </c>
      <c r="B142" s="40" t="s">
        <v>565</v>
      </c>
      <c r="C142" s="40" t="s">
        <v>566</v>
      </c>
      <c r="D142" s="41" t="n">
        <v>46246</v>
      </c>
      <c r="E142" s="40" t="s">
        <v>26</v>
      </c>
      <c r="F142" s="40" t="s">
        <v>534</v>
      </c>
      <c r="G142" s="42" t="s">
        <v>560</v>
      </c>
      <c r="H142" s="40" t="s">
        <v>536</v>
      </c>
      <c r="I142" s="40" t="s">
        <v>17</v>
      </c>
      <c r="J142" s="40" t="s">
        <v>18</v>
      </c>
      <c r="K142" s="40" t="s">
        <v>86</v>
      </c>
      <c r="L142" s="42" t="s">
        <v>567</v>
      </c>
      <c r="M142" s="43" t="n">
        <v>35.5334111111111</v>
      </c>
      <c r="N142" s="44" t="n">
        <v>3198007</v>
      </c>
      <c r="O142" s="45" t="n">
        <v>89999.9999999999</v>
      </c>
      <c r="P142" s="40" t="s">
        <v>526</v>
      </c>
      <c r="Q142" s="40" t="s">
        <v>568</v>
      </c>
      <c r="R142" s="42" t="s">
        <v>137</v>
      </c>
      <c r="S142" s="40" t="n">
        <v>1</v>
      </c>
      <c r="T142" s="40" t="n">
        <v>1</v>
      </c>
      <c r="U142" s="0" t="n">
        <f aca="false">IF(AND(OR('Daily Profitability'!$E$3="All",ISNUMBER(SEARCH('Daily Profitability'!$E$3,F142))),OR('Daily Profitability'!$H$3="All",I142='Daily Profitability'!$H$3),OR('Daily Profitability'!$K$3="All",J142='Daily Profitability'!$K$3),OR('Daily Profitability'!$N$3="All",K142='Daily Profitability'!$N$3)),1,0)</f>
        <v>0</v>
      </c>
    </row>
    <row r="143" customFormat="false" ht="15" hidden="false" customHeight="false" outlineLevel="0" collapsed="false">
      <c r="A143" s="40" t="s">
        <v>569</v>
      </c>
      <c r="B143" s="40" t="s">
        <v>565</v>
      </c>
      <c r="C143" s="40" t="s">
        <v>566</v>
      </c>
      <c r="D143" s="41" t="n">
        <v>46246</v>
      </c>
      <c r="E143" s="40" t="s">
        <v>26</v>
      </c>
      <c r="F143" s="40" t="s">
        <v>16</v>
      </c>
      <c r="G143" s="42" t="s">
        <v>16</v>
      </c>
      <c r="H143" s="40" t="s">
        <v>11</v>
      </c>
      <c r="I143" s="40" t="s">
        <v>11</v>
      </c>
      <c r="J143" s="40" t="s">
        <v>11</v>
      </c>
      <c r="K143" s="40" t="s">
        <v>86</v>
      </c>
      <c r="L143" s="42" t="s">
        <v>570</v>
      </c>
      <c r="M143" s="43" t="n">
        <v>33.68</v>
      </c>
      <c r="N143" s="44" t="n">
        <v>3031200</v>
      </c>
      <c r="O143" s="45" t="n">
        <v>90000</v>
      </c>
      <c r="P143" s="40" t="s">
        <v>526</v>
      </c>
      <c r="Q143" s="40" t="s">
        <v>571</v>
      </c>
      <c r="R143" s="42" t="s">
        <v>137</v>
      </c>
      <c r="S143" s="40" t="n">
        <v>1</v>
      </c>
      <c r="T143" s="40" t="n">
        <v>0</v>
      </c>
      <c r="U143" s="0" t="n">
        <f aca="false">IF(AND(OR('Daily Profitability'!$E$3="All",ISNUMBER(SEARCH('Daily Profitability'!$E$3,F143))),OR('Daily Profitability'!$H$3="All",I143='Daily Profitability'!$H$3),OR('Daily Profitability'!$K$3="All",J143='Daily Profitability'!$K$3),OR('Daily Profitability'!$N$3="All",K143='Daily Profitability'!$N$3)),1,0)</f>
        <v>1</v>
      </c>
    </row>
    <row r="144" customFormat="false" ht="15" hidden="false" customHeight="false" outlineLevel="0" collapsed="false">
      <c r="A144" s="40" t="s">
        <v>572</v>
      </c>
      <c r="B144" s="40" t="s">
        <v>573</v>
      </c>
      <c r="C144" s="40" t="s">
        <v>126</v>
      </c>
      <c r="D144" s="41" t="n">
        <v>46246</v>
      </c>
      <c r="E144" s="40" t="s">
        <v>26</v>
      </c>
      <c r="F144" s="40" t="s">
        <v>16</v>
      </c>
      <c r="G144" s="42" t="s">
        <v>16</v>
      </c>
      <c r="H144" s="40" t="s">
        <v>11</v>
      </c>
      <c r="I144" s="40" t="s">
        <v>11</v>
      </c>
      <c r="J144" s="40" t="s">
        <v>11</v>
      </c>
      <c r="K144" s="40" t="s">
        <v>76</v>
      </c>
      <c r="L144" s="42" t="s">
        <v>574</v>
      </c>
      <c r="M144" s="43" t="n">
        <v>184.947222222222</v>
      </c>
      <c r="N144" s="44" t="n">
        <v>16645250</v>
      </c>
      <c r="O144" s="45" t="n">
        <v>90000.0000000001</v>
      </c>
      <c r="P144" s="40" t="s">
        <v>526</v>
      </c>
      <c r="Q144" s="40" t="s">
        <v>575</v>
      </c>
      <c r="R144" s="42" t="s">
        <v>402</v>
      </c>
      <c r="S144" s="40" t="n">
        <v>1</v>
      </c>
      <c r="T144" s="40" t="n">
        <v>1</v>
      </c>
      <c r="U144" s="0" t="n">
        <f aca="false">IF(AND(OR('Daily Profitability'!$E$3="All",ISNUMBER(SEARCH('Daily Profitability'!$E$3,F144))),OR('Daily Profitability'!$H$3="All",I144='Daily Profitability'!$H$3),OR('Daily Profitability'!$K$3="All",J144='Daily Profitability'!$K$3),OR('Daily Profitability'!$N$3="All",K144='Daily Profitability'!$N$3)),1,0)</f>
        <v>1</v>
      </c>
    </row>
    <row r="145" customFormat="false" ht="15" hidden="false" customHeight="false" outlineLevel="0" collapsed="false">
      <c r="A145" s="40" t="s">
        <v>576</v>
      </c>
      <c r="B145" s="40" t="s">
        <v>577</v>
      </c>
      <c r="C145" s="40" t="s">
        <v>578</v>
      </c>
      <c r="D145" s="41" t="n">
        <v>46247</v>
      </c>
      <c r="E145" s="40" t="s">
        <v>26</v>
      </c>
      <c r="F145" s="40" t="s">
        <v>16</v>
      </c>
      <c r="G145" s="42" t="s">
        <v>16</v>
      </c>
      <c r="H145" s="40" t="s">
        <v>11</v>
      </c>
      <c r="I145" s="40" t="s">
        <v>11</v>
      </c>
      <c r="J145" s="40" t="s">
        <v>11</v>
      </c>
      <c r="K145" s="40" t="s">
        <v>78</v>
      </c>
      <c r="L145" s="42" t="s">
        <v>579</v>
      </c>
      <c r="M145" s="43" t="n">
        <v>4.16666666666667</v>
      </c>
      <c r="N145" s="44" t="n">
        <v>375000</v>
      </c>
      <c r="O145" s="45" t="n">
        <v>89999.9999999999</v>
      </c>
      <c r="P145" s="40" t="s">
        <v>580</v>
      </c>
      <c r="Q145" s="40" t="s">
        <v>136</v>
      </c>
      <c r="R145" s="42" t="s">
        <v>137</v>
      </c>
      <c r="S145" s="40" t="n">
        <v>1</v>
      </c>
      <c r="T145" s="40" t="n">
        <v>1</v>
      </c>
      <c r="U145" s="0" t="n">
        <f aca="false">IF(AND(OR('Daily Profitability'!$E$3="All",ISNUMBER(SEARCH('Daily Profitability'!$E$3,F145))),OR('Daily Profitability'!$H$3="All",I145='Daily Profitability'!$H$3),OR('Daily Profitability'!$K$3="All",J145='Daily Profitability'!$K$3),OR('Daily Profitability'!$N$3="All",K145='Daily Profitability'!$N$3)),1,0)</f>
        <v>1</v>
      </c>
    </row>
    <row r="146" customFormat="false" ht="15" hidden="false" customHeight="false" outlineLevel="0" collapsed="false">
      <c r="A146" s="40" t="s">
        <v>581</v>
      </c>
      <c r="B146" s="40" t="s">
        <v>577</v>
      </c>
      <c r="C146" s="40" t="s">
        <v>578</v>
      </c>
      <c r="D146" s="41" t="n">
        <v>46247</v>
      </c>
      <c r="E146" s="40" t="s">
        <v>26</v>
      </c>
      <c r="F146" s="40" t="s">
        <v>470</v>
      </c>
      <c r="G146" s="42" t="s">
        <v>380</v>
      </c>
      <c r="H146" s="40" t="s">
        <v>471</v>
      </c>
      <c r="I146" s="40" t="s">
        <v>11</v>
      </c>
      <c r="J146" s="40" t="s">
        <v>11</v>
      </c>
      <c r="K146" s="40" t="s">
        <v>78</v>
      </c>
      <c r="L146" s="42" t="s">
        <v>582</v>
      </c>
      <c r="M146" s="43" t="n">
        <v>17.7777777777778</v>
      </c>
      <c r="N146" s="44" t="n">
        <v>1600000</v>
      </c>
      <c r="O146" s="45" t="n">
        <v>89999.9999999999</v>
      </c>
      <c r="P146" s="40" t="s">
        <v>580</v>
      </c>
      <c r="Q146" s="40" t="s">
        <v>171</v>
      </c>
      <c r="R146" s="42" t="s">
        <v>137</v>
      </c>
      <c r="S146" s="40" t="n">
        <v>1</v>
      </c>
      <c r="T146" s="40" t="n">
        <v>0</v>
      </c>
      <c r="U146" s="0" t="n">
        <f aca="false">IF(AND(OR('Daily Profitability'!$E$3="All",ISNUMBER(SEARCH('Daily Profitability'!$E$3,F146))),OR('Daily Profitability'!$H$3="All",I146='Daily Profitability'!$H$3),OR('Daily Profitability'!$K$3="All",J146='Daily Profitability'!$K$3),OR('Daily Profitability'!$N$3="All",K146='Daily Profitability'!$N$3)),1,0)</f>
        <v>1</v>
      </c>
    </row>
    <row r="147" customFormat="false" ht="15" hidden="false" customHeight="false" outlineLevel="0" collapsed="false">
      <c r="A147" s="40" t="s">
        <v>583</v>
      </c>
      <c r="B147" s="40" t="s">
        <v>577</v>
      </c>
      <c r="C147" s="40" t="s">
        <v>578</v>
      </c>
      <c r="D147" s="41" t="n">
        <v>46247</v>
      </c>
      <c r="E147" s="40" t="s">
        <v>26</v>
      </c>
      <c r="F147" s="40" t="s">
        <v>379</v>
      </c>
      <c r="G147" s="42" t="s">
        <v>380</v>
      </c>
      <c r="H147" s="40" t="s">
        <v>381</v>
      </c>
      <c r="I147" s="40" t="s">
        <v>55</v>
      </c>
      <c r="J147" s="40" t="s">
        <v>29</v>
      </c>
      <c r="K147" s="40" t="s">
        <v>78</v>
      </c>
      <c r="L147" s="42" t="s">
        <v>584</v>
      </c>
      <c r="M147" s="43" t="n">
        <v>9.66666666666667</v>
      </c>
      <c r="N147" s="44" t="n">
        <v>870000</v>
      </c>
      <c r="O147" s="45" t="n">
        <v>90000</v>
      </c>
      <c r="P147" s="40" t="s">
        <v>580</v>
      </c>
      <c r="Q147" s="40" t="s">
        <v>141</v>
      </c>
      <c r="R147" s="42" t="s">
        <v>137</v>
      </c>
      <c r="S147" s="40" t="n">
        <v>1</v>
      </c>
      <c r="T147" s="40" t="n">
        <v>0</v>
      </c>
      <c r="U147" s="0" t="n">
        <f aca="false">IF(AND(OR('Daily Profitability'!$E$3="All",ISNUMBER(SEARCH('Daily Profitability'!$E$3,F147))),OR('Daily Profitability'!$H$3="All",I147='Daily Profitability'!$H$3),OR('Daily Profitability'!$K$3="All",J147='Daily Profitability'!$K$3),OR('Daily Profitability'!$N$3="All",K147='Daily Profitability'!$N$3)),1,0)</f>
        <v>0</v>
      </c>
    </row>
    <row r="148" customFormat="false" ht="15" hidden="false" customHeight="false" outlineLevel="0" collapsed="false">
      <c r="A148" s="40" t="s">
        <v>585</v>
      </c>
      <c r="B148" s="40" t="s">
        <v>586</v>
      </c>
      <c r="C148" s="40" t="s">
        <v>587</v>
      </c>
      <c r="D148" s="41" t="n">
        <v>46247</v>
      </c>
      <c r="E148" s="40" t="s">
        <v>26</v>
      </c>
      <c r="F148" s="40" t="s">
        <v>16</v>
      </c>
      <c r="G148" s="42" t="s">
        <v>16</v>
      </c>
      <c r="H148" s="40" t="s">
        <v>11</v>
      </c>
      <c r="I148" s="40" t="s">
        <v>11</v>
      </c>
      <c r="J148" s="40" t="s">
        <v>11</v>
      </c>
      <c r="K148" s="40" t="s">
        <v>78</v>
      </c>
      <c r="L148" s="42" t="s">
        <v>588</v>
      </c>
      <c r="M148" s="43" t="n">
        <v>1.66666666666667</v>
      </c>
      <c r="N148" s="44" t="n">
        <v>150000</v>
      </c>
      <c r="O148" s="45" t="n">
        <v>89999.9999999998</v>
      </c>
      <c r="P148" s="40" t="s">
        <v>580</v>
      </c>
      <c r="Q148" s="40" t="s">
        <v>214</v>
      </c>
      <c r="R148" s="42" t="s">
        <v>137</v>
      </c>
      <c r="S148" s="40" t="n">
        <v>1</v>
      </c>
      <c r="T148" s="40" t="n">
        <v>1</v>
      </c>
      <c r="U148" s="0" t="n">
        <f aca="false">IF(AND(OR('Daily Profitability'!$E$3="All",ISNUMBER(SEARCH('Daily Profitability'!$E$3,F148))),OR('Daily Profitability'!$H$3="All",I148='Daily Profitability'!$H$3),OR('Daily Profitability'!$K$3="All",J148='Daily Profitability'!$K$3),OR('Daily Profitability'!$N$3="All",K148='Daily Profitability'!$N$3)),1,0)</f>
        <v>1</v>
      </c>
    </row>
    <row r="149" customFormat="false" ht="15" hidden="false" customHeight="false" outlineLevel="0" collapsed="false">
      <c r="A149" s="40" t="s">
        <v>589</v>
      </c>
      <c r="B149" s="40" t="s">
        <v>590</v>
      </c>
      <c r="C149" s="40" t="s">
        <v>591</v>
      </c>
      <c r="D149" s="41" t="n">
        <v>46247</v>
      </c>
      <c r="E149" s="40" t="s">
        <v>26</v>
      </c>
      <c r="F149" s="40" t="s">
        <v>38</v>
      </c>
      <c r="G149" s="42" t="s">
        <v>392</v>
      </c>
      <c r="H149" s="40" t="s">
        <v>392</v>
      </c>
      <c r="I149" s="40" t="s">
        <v>48</v>
      </c>
      <c r="J149" s="40" t="s">
        <v>56</v>
      </c>
      <c r="K149" s="40" t="s">
        <v>38</v>
      </c>
      <c r="L149" s="42" t="s">
        <v>592</v>
      </c>
      <c r="M149" s="43" t="n">
        <v>18.3027777777778</v>
      </c>
      <c r="N149" s="44" t="n">
        <v>1647250</v>
      </c>
      <c r="O149" s="45" t="n">
        <v>90000.0000000001</v>
      </c>
      <c r="P149" s="40" t="s">
        <v>580</v>
      </c>
      <c r="Q149" s="40" t="s">
        <v>477</v>
      </c>
      <c r="R149" s="42" t="s">
        <v>174</v>
      </c>
      <c r="S149" s="40" t="n">
        <v>1</v>
      </c>
      <c r="T149" s="40" t="n">
        <v>1</v>
      </c>
      <c r="U149" s="0" t="n">
        <f aca="false">IF(AND(OR('Daily Profitability'!$E$3="All",ISNUMBER(SEARCH('Daily Profitability'!$E$3,F149))),OR('Daily Profitability'!$H$3="All",I149='Daily Profitability'!$H$3),OR('Daily Profitability'!$K$3="All",J149='Daily Profitability'!$K$3),OR('Daily Profitability'!$N$3="All",K149='Daily Profitability'!$N$3)),1,0)</f>
        <v>0</v>
      </c>
    </row>
    <row r="150" customFormat="false" ht="35.05" hidden="false" customHeight="false" outlineLevel="0" collapsed="false">
      <c r="A150" s="40" t="s">
        <v>593</v>
      </c>
      <c r="B150" s="40" t="s">
        <v>594</v>
      </c>
      <c r="C150" s="40" t="s">
        <v>126</v>
      </c>
      <c r="D150" s="41" t="n">
        <v>46247</v>
      </c>
      <c r="E150" s="40" t="s">
        <v>26</v>
      </c>
      <c r="F150" s="40" t="s">
        <v>16</v>
      </c>
      <c r="G150" s="42" t="s">
        <v>16</v>
      </c>
      <c r="H150" s="40" t="s">
        <v>392</v>
      </c>
      <c r="I150" s="40" t="s">
        <v>48</v>
      </c>
      <c r="J150" s="40" t="s">
        <v>56</v>
      </c>
      <c r="K150" s="40" t="s">
        <v>38</v>
      </c>
      <c r="L150" s="42" t="s">
        <v>595</v>
      </c>
      <c r="M150" s="43" t="n">
        <v>21.1277777777778</v>
      </c>
      <c r="N150" s="44" t="n">
        <v>1901500</v>
      </c>
      <c r="O150" s="45" t="n">
        <v>90000</v>
      </c>
      <c r="P150" s="40" t="s">
        <v>580</v>
      </c>
      <c r="Q150" s="40" t="s">
        <v>596</v>
      </c>
      <c r="R150" s="42" t="s">
        <v>597</v>
      </c>
      <c r="S150" s="40" t="n">
        <v>1</v>
      </c>
      <c r="T150" s="40" t="n">
        <v>1</v>
      </c>
      <c r="U150" s="0" t="n">
        <f aca="false">IF(AND(OR('Daily Profitability'!$E$3="All",ISNUMBER(SEARCH('Daily Profitability'!$E$3,F150))),OR('Daily Profitability'!$H$3="All",I150='Daily Profitability'!$H$3),OR('Daily Profitability'!$K$3="All",J150='Daily Profitability'!$K$3),OR('Daily Profitability'!$N$3="All",K150='Daily Profitability'!$N$3)),1,0)</f>
        <v>0</v>
      </c>
    </row>
    <row r="151" customFormat="false" ht="35.05" hidden="false" customHeight="false" outlineLevel="0" collapsed="false">
      <c r="A151" s="40" t="s">
        <v>598</v>
      </c>
      <c r="B151" s="40" t="s">
        <v>599</v>
      </c>
      <c r="C151" s="40" t="s">
        <v>126</v>
      </c>
      <c r="D151" s="41" t="n">
        <v>46247</v>
      </c>
      <c r="E151" s="40" t="s">
        <v>26</v>
      </c>
      <c r="F151" s="40" t="s">
        <v>16</v>
      </c>
      <c r="G151" s="42" t="s">
        <v>16</v>
      </c>
      <c r="H151" s="40" t="s">
        <v>392</v>
      </c>
      <c r="I151" s="40" t="s">
        <v>48</v>
      </c>
      <c r="J151" s="40" t="s">
        <v>56</v>
      </c>
      <c r="K151" s="40" t="s">
        <v>38</v>
      </c>
      <c r="L151" s="42" t="s">
        <v>600</v>
      </c>
      <c r="M151" s="43" t="n">
        <v>3.33333333333333</v>
      </c>
      <c r="N151" s="44" t="n">
        <v>300000</v>
      </c>
      <c r="O151" s="45" t="n">
        <v>90000.0000000001</v>
      </c>
      <c r="P151" s="40" t="s">
        <v>580</v>
      </c>
      <c r="Q151" s="40" t="s">
        <v>192</v>
      </c>
      <c r="R151" s="42" t="s">
        <v>597</v>
      </c>
      <c r="S151" s="40" t="n">
        <v>1</v>
      </c>
      <c r="T151" s="40" t="n">
        <v>1</v>
      </c>
      <c r="U151" s="0" t="n">
        <f aca="false">IF(AND(OR('Daily Profitability'!$E$3="All",ISNUMBER(SEARCH('Daily Profitability'!$E$3,F151))),OR('Daily Profitability'!$H$3="All",I151='Daily Profitability'!$H$3),OR('Daily Profitability'!$K$3="All",J151='Daily Profitability'!$K$3),OR('Daily Profitability'!$N$3="All",K151='Daily Profitability'!$N$3)),1,0)</f>
        <v>0</v>
      </c>
    </row>
    <row r="152" customFormat="false" ht="46.25" hidden="false" customHeight="false" outlineLevel="0" collapsed="false">
      <c r="A152" s="40" t="s">
        <v>601</v>
      </c>
      <c r="B152" s="40" t="s">
        <v>602</v>
      </c>
      <c r="C152" s="40" t="s">
        <v>603</v>
      </c>
      <c r="D152" s="41" t="n">
        <v>46247</v>
      </c>
      <c r="E152" s="40" t="s">
        <v>26</v>
      </c>
      <c r="F152" s="40" t="s">
        <v>16</v>
      </c>
      <c r="G152" s="42" t="s">
        <v>392</v>
      </c>
      <c r="H152" s="40" t="s">
        <v>11</v>
      </c>
      <c r="I152" s="40" t="s">
        <v>11</v>
      </c>
      <c r="J152" s="40" t="s">
        <v>11</v>
      </c>
      <c r="K152" s="40" t="s">
        <v>78</v>
      </c>
      <c r="L152" s="42" t="s">
        <v>320</v>
      </c>
      <c r="M152" s="43" t="n">
        <v>8.18333333333333</v>
      </c>
      <c r="N152" s="44" t="n">
        <v>736500</v>
      </c>
      <c r="O152" s="45" t="n">
        <v>90000</v>
      </c>
      <c r="P152" s="40" t="s">
        <v>580</v>
      </c>
      <c r="Q152" s="40" t="s">
        <v>604</v>
      </c>
      <c r="R152" s="42" t="s">
        <v>605</v>
      </c>
      <c r="S152" s="40" t="n">
        <v>1</v>
      </c>
      <c r="T152" s="40" t="n">
        <v>1</v>
      </c>
      <c r="U152" s="0" t="n">
        <f aca="false">IF(AND(OR('Daily Profitability'!$E$3="All",ISNUMBER(SEARCH('Daily Profitability'!$E$3,F152))),OR('Daily Profitability'!$H$3="All",I152='Daily Profitability'!$H$3),OR('Daily Profitability'!$K$3="All",J152='Daily Profitability'!$K$3),OR('Daily Profitability'!$N$3="All",K152='Daily Profitability'!$N$3)),1,0)</f>
        <v>1</v>
      </c>
    </row>
    <row r="153" customFormat="false" ht="15" hidden="false" customHeight="false" outlineLevel="0" collapsed="false">
      <c r="A153" s="40" t="s">
        <v>606</v>
      </c>
      <c r="B153" s="40" t="s">
        <v>607</v>
      </c>
      <c r="C153" s="40" t="s">
        <v>608</v>
      </c>
      <c r="D153" s="41" t="n">
        <v>46249</v>
      </c>
      <c r="E153" s="40" t="s">
        <v>26</v>
      </c>
      <c r="F153" s="40" t="s">
        <v>16</v>
      </c>
      <c r="G153" s="42" t="s">
        <v>16</v>
      </c>
      <c r="H153" s="40" t="s">
        <v>11</v>
      </c>
      <c r="I153" s="40" t="s">
        <v>11</v>
      </c>
      <c r="J153" s="40" t="s">
        <v>11</v>
      </c>
      <c r="K153" s="40" t="s">
        <v>35</v>
      </c>
      <c r="L153" s="42" t="s">
        <v>277</v>
      </c>
      <c r="M153" s="43" t="n">
        <v>18.26</v>
      </c>
      <c r="N153" s="44" t="n">
        <v>0</v>
      </c>
      <c r="O153" s="45"/>
      <c r="P153" s="40" t="s">
        <v>609</v>
      </c>
      <c r="Q153" s="40" t="s">
        <v>171</v>
      </c>
      <c r="R153" s="42" t="s">
        <v>137</v>
      </c>
      <c r="S153" s="40" t="n">
        <v>1</v>
      </c>
      <c r="T153" s="40" t="n">
        <v>1</v>
      </c>
      <c r="U153" s="0" t="n">
        <f aca="false">IF(AND(OR('Daily Profitability'!$E$3="All",ISNUMBER(SEARCH('Daily Profitability'!$E$3,F153))),OR('Daily Profitability'!$H$3="All",I153='Daily Profitability'!$H$3),OR('Daily Profitability'!$K$3="All",J153='Daily Profitability'!$K$3),OR('Daily Profitability'!$N$3="All",K153='Daily Profitability'!$N$3)),1,0)</f>
        <v>1</v>
      </c>
    </row>
    <row r="154" customFormat="false" ht="15" hidden="false" customHeight="false" outlineLevel="0" collapsed="false">
      <c r="A154" s="40" t="s">
        <v>610</v>
      </c>
      <c r="B154" s="40" t="s">
        <v>611</v>
      </c>
      <c r="C154" s="40" t="s">
        <v>118</v>
      </c>
      <c r="D154" s="41" t="n">
        <v>46249</v>
      </c>
      <c r="E154" s="40" t="s">
        <v>26</v>
      </c>
      <c r="F154" s="40" t="s">
        <v>32</v>
      </c>
      <c r="G154" s="42" t="s">
        <v>63</v>
      </c>
      <c r="H154" s="40" t="s">
        <v>392</v>
      </c>
      <c r="I154" s="40" t="s">
        <v>52</v>
      </c>
      <c r="J154" s="40" t="s">
        <v>63</v>
      </c>
      <c r="K154" s="40" t="s">
        <v>91</v>
      </c>
      <c r="L154" s="42" t="s">
        <v>612</v>
      </c>
      <c r="M154" s="43" t="n">
        <v>80</v>
      </c>
      <c r="N154" s="44" t="n">
        <v>0</v>
      </c>
      <c r="O154" s="45"/>
      <c r="P154" s="40" t="s">
        <v>609</v>
      </c>
      <c r="Q154" s="40" t="s">
        <v>147</v>
      </c>
      <c r="R154" s="42" t="s">
        <v>613</v>
      </c>
      <c r="S154" s="40" t="n">
        <v>1</v>
      </c>
      <c r="T154" s="40" t="n">
        <v>1</v>
      </c>
      <c r="U154" s="0" t="n">
        <f aca="false">IF(AND(OR('Daily Profitability'!$E$3="All",ISNUMBER(SEARCH('Daily Profitability'!$E$3,F154))),OR('Daily Profitability'!$H$3="All",I154='Daily Profitability'!$H$3),OR('Daily Profitability'!$K$3="All",J154='Daily Profitability'!$K$3),OR('Daily Profitability'!$N$3="All",K154='Daily Profitability'!$N$3)),1,0)</f>
        <v>0</v>
      </c>
    </row>
    <row r="155" customFormat="false" ht="23.85" hidden="false" customHeight="false" outlineLevel="0" collapsed="false">
      <c r="A155" s="40" t="s">
        <v>614</v>
      </c>
      <c r="B155" s="40" t="s">
        <v>615</v>
      </c>
      <c r="C155" s="40" t="s">
        <v>616</v>
      </c>
      <c r="D155" s="41" t="n">
        <v>46249</v>
      </c>
      <c r="E155" s="40" t="s">
        <v>26</v>
      </c>
      <c r="F155" s="40" t="s">
        <v>16</v>
      </c>
      <c r="G155" s="42" t="s">
        <v>16</v>
      </c>
      <c r="H155" s="40" t="s">
        <v>11</v>
      </c>
      <c r="I155" s="40" t="s">
        <v>11</v>
      </c>
      <c r="J155" s="40" t="s">
        <v>11</v>
      </c>
      <c r="K155" s="40" t="s">
        <v>88</v>
      </c>
      <c r="L155" s="42" t="s">
        <v>617</v>
      </c>
      <c r="M155" s="43" t="n">
        <v>46.6796222222222</v>
      </c>
      <c r="N155" s="44" t="n">
        <v>4201166</v>
      </c>
      <c r="O155" s="45" t="n">
        <v>90000</v>
      </c>
      <c r="P155" s="40" t="s">
        <v>609</v>
      </c>
      <c r="Q155" s="40" t="s">
        <v>618</v>
      </c>
      <c r="R155" s="42" t="s">
        <v>137</v>
      </c>
      <c r="S155" s="40" t="n">
        <v>1</v>
      </c>
      <c r="T155" s="40" t="n">
        <v>1</v>
      </c>
      <c r="U155" s="0" t="n">
        <f aca="false">IF(AND(OR('Daily Profitability'!$E$3="All",ISNUMBER(SEARCH('Daily Profitability'!$E$3,F155))),OR('Daily Profitability'!$H$3="All",I155='Daily Profitability'!$H$3),OR('Daily Profitability'!$K$3="All",J155='Daily Profitability'!$K$3),OR('Daily Profitability'!$N$3="All",K155='Daily Profitability'!$N$3)),1,0)</f>
        <v>1</v>
      </c>
    </row>
    <row r="156" customFormat="false" ht="15" hidden="false" customHeight="false" outlineLevel="0" collapsed="false">
      <c r="A156" s="40" t="s">
        <v>619</v>
      </c>
      <c r="B156" s="40" t="s">
        <v>615</v>
      </c>
      <c r="C156" s="40" t="s">
        <v>616</v>
      </c>
      <c r="D156" s="41" t="n">
        <v>46249</v>
      </c>
      <c r="E156" s="40" t="s">
        <v>26</v>
      </c>
      <c r="F156" s="40" t="s">
        <v>16</v>
      </c>
      <c r="G156" s="42" t="s">
        <v>16</v>
      </c>
      <c r="H156" s="40" t="s">
        <v>392</v>
      </c>
      <c r="I156" s="40" t="s">
        <v>17</v>
      </c>
      <c r="J156" s="40" t="s">
        <v>18</v>
      </c>
      <c r="K156" s="40" t="s">
        <v>88</v>
      </c>
      <c r="L156" s="42" t="s">
        <v>620</v>
      </c>
      <c r="M156" s="43" t="n">
        <v>9.44782222222222</v>
      </c>
      <c r="N156" s="44" t="n">
        <v>850304</v>
      </c>
      <c r="O156" s="45" t="n">
        <v>90000</v>
      </c>
      <c r="P156" s="40" t="s">
        <v>609</v>
      </c>
      <c r="Q156" s="40" t="s">
        <v>621</v>
      </c>
      <c r="R156" s="42" t="s">
        <v>137</v>
      </c>
      <c r="S156" s="40" t="n">
        <v>1</v>
      </c>
      <c r="T156" s="40" t="n">
        <v>0</v>
      </c>
      <c r="U156" s="0" t="n">
        <f aca="false">IF(AND(OR('Daily Profitability'!$E$3="All",ISNUMBER(SEARCH('Daily Profitability'!$E$3,F156))),OR('Daily Profitability'!$H$3="All",I156='Daily Profitability'!$H$3),OR('Daily Profitability'!$K$3="All",J156='Daily Profitability'!$K$3),OR('Daily Profitability'!$N$3="All",K156='Daily Profitability'!$N$3)),1,0)</f>
        <v>0</v>
      </c>
    </row>
    <row r="157" customFormat="false" ht="15" hidden="false" customHeight="false" outlineLevel="0" collapsed="false">
      <c r="A157" s="40" t="s">
        <v>622</v>
      </c>
      <c r="B157" s="40" t="s">
        <v>623</v>
      </c>
      <c r="C157" s="40" t="s">
        <v>624</v>
      </c>
      <c r="D157" s="41" t="n">
        <v>46249</v>
      </c>
      <c r="E157" s="40" t="s">
        <v>26</v>
      </c>
      <c r="F157" s="40" t="s">
        <v>32</v>
      </c>
      <c r="G157" s="42" t="s">
        <v>392</v>
      </c>
      <c r="H157" s="40" t="s">
        <v>392</v>
      </c>
      <c r="I157" s="40" t="s">
        <v>39</v>
      </c>
      <c r="J157" s="40" t="s">
        <v>40</v>
      </c>
      <c r="K157" s="40" t="s">
        <v>38</v>
      </c>
      <c r="L157" s="42" t="s">
        <v>625</v>
      </c>
      <c r="M157" s="43" t="n">
        <v>180</v>
      </c>
      <c r="N157" s="44" t="n">
        <v>16200000</v>
      </c>
      <c r="O157" s="45" t="n">
        <v>90000</v>
      </c>
      <c r="P157" s="40" t="s">
        <v>609</v>
      </c>
      <c r="Q157" s="40" t="s">
        <v>362</v>
      </c>
      <c r="R157" s="42" t="s">
        <v>174</v>
      </c>
      <c r="S157" s="40" t="n">
        <v>1</v>
      </c>
      <c r="T157" s="40" t="n">
        <v>1</v>
      </c>
      <c r="U157" s="0" t="n">
        <f aca="false">IF(AND(OR('Daily Profitability'!$E$3="All",ISNUMBER(SEARCH('Daily Profitability'!$E$3,F157))),OR('Daily Profitability'!$H$3="All",I157='Daily Profitability'!$H$3),OR('Daily Profitability'!$K$3="All",J157='Daily Profitability'!$K$3),OR('Daily Profitability'!$N$3="All",K157='Daily Profitability'!$N$3)),1,0)</f>
        <v>0</v>
      </c>
    </row>
    <row r="158" customFormat="false" ht="15" hidden="false" customHeight="false" outlineLevel="0" collapsed="false">
      <c r="A158" s="40" t="s">
        <v>626</v>
      </c>
      <c r="B158" s="40" t="s">
        <v>627</v>
      </c>
      <c r="C158" s="40" t="s">
        <v>126</v>
      </c>
      <c r="D158" s="41" t="n">
        <v>46249</v>
      </c>
      <c r="E158" s="40" t="s">
        <v>26</v>
      </c>
      <c r="F158" s="40" t="s">
        <v>16</v>
      </c>
      <c r="G158" s="42" t="s">
        <v>16</v>
      </c>
      <c r="H158" s="40" t="s">
        <v>11</v>
      </c>
      <c r="I158" s="40" t="s">
        <v>11</v>
      </c>
      <c r="J158" s="40" t="s">
        <v>11</v>
      </c>
      <c r="K158" s="40" t="s">
        <v>86</v>
      </c>
      <c r="L158" s="42" t="s">
        <v>628</v>
      </c>
      <c r="M158" s="43" t="n">
        <v>115.397222222222</v>
      </c>
      <c r="N158" s="44" t="n">
        <v>10385750</v>
      </c>
      <c r="O158" s="45" t="n">
        <v>90000.0000000002</v>
      </c>
      <c r="P158" s="40" t="s">
        <v>609</v>
      </c>
      <c r="Q158" s="40" t="s">
        <v>197</v>
      </c>
      <c r="R158" s="42" t="s">
        <v>402</v>
      </c>
      <c r="S158" s="40" t="n">
        <v>1</v>
      </c>
      <c r="T158" s="40" t="n">
        <v>1</v>
      </c>
      <c r="U158" s="0" t="n">
        <f aca="false">IF(AND(OR('Daily Profitability'!$E$3="All",ISNUMBER(SEARCH('Daily Profitability'!$E$3,F158))),OR('Daily Profitability'!$H$3="All",I158='Daily Profitability'!$H$3),OR('Daily Profitability'!$K$3="All",J158='Daily Profitability'!$K$3),OR('Daily Profitability'!$N$3="All",K158='Daily Profitability'!$N$3)),1,0)</f>
        <v>1</v>
      </c>
    </row>
    <row r="159" customFormat="false" ht="15" hidden="false" customHeight="false" outlineLevel="0" collapsed="false">
      <c r="A159" s="40" t="s">
        <v>629</v>
      </c>
      <c r="B159" s="40" t="s">
        <v>630</v>
      </c>
      <c r="C159" s="40" t="s">
        <v>631</v>
      </c>
      <c r="D159" s="41" t="n">
        <v>46250</v>
      </c>
      <c r="E159" s="40" t="s">
        <v>26</v>
      </c>
      <c r="F159" s="40" t="s">
        <v>16</v>
      </c>
      <c r="G159" s="42" t="s">
        <v>16</v>
      </c>
      <c r="H159" s="40" t="s">
        <v>11</v>
      </c>
      <c r="I159" s="40" t="s">
        <v>11</v>
      </c>
      <c r="J159" s="40" t="s">
        <v>11</v>
      </c>
      <c r="K159" s="40" t="s">
        <v>78</v>
      </c>
      <c r="L159" s="42" t="s">
        <v>320</v>
      </c>
      <c r="M159" s="43" t="n">
        <v>1.66666666666667</v>
      </c>
      <c r="N159" s="44" t="n">
        <v>150000</v>
      </c>
      <c r="O159" s="45" t="n">
        <v>89999.9999999998</v>
      </c>
      <c r="P159" s="40" t="s">
        <v>632</v>
      </c>
      <c r="Q159" s="40" t="s">
        <v>136</v>
      </c>
      <c r="R159" s="42" t="s">
        <v>137</v>
      </c>
      <c r="S159" s="40" t="n">
        <v>1</v>
      </c>
      <c r="T159" s="40" t="n">
        <v>1</v>
      </c>
      <c r="U159" s="0" t="n">
        <f aca="false">IF(AND(OR('Daily Profitability'!$E$3="All",ISNUMBER(SEARCH('Daily Profitability'!$E$3,F159))),OR('Daily Profitability'!$H$3="All",I159='Daily Profitability'!$H$3),OR('Daily Profitability'!$K$3="All",J159='Daily Profitability'!$K$3),OR('Daily Profitability'!$N$3="All",K159='Daily Profitability'!$N$3)),1,0)</f>
        <v>1</v>
      </c>
    </row>
    <row r="160" customFormat="false" ht="15" hidden="false" customHeight="false" outlineLevel="0" collapsed="false">
      <c r="A160" s="40" t="s">
        <v>633</v>
      </c>
      <c r="B160" s="40" t="s">
        <v>630</v>
      </c>
      <c r="C160" s="40" t="s">
        <v>631</v>
      </c>
      <c r="D160" s="41" t="n">
        <v>46250</v>
      </c>
      <c r="E160" s="40" t="s">
        <v>26</v>
      </c>
      <c r="F160" s="40" t="s">
        <v>470</v>
      </c>
      <c r="G160" s="42" t="s">
        <v>380</v>
      </c>
      <c r="H160" s="40" t="s">
        <v>471</v>
      </c>
      <c r="I160" s="40" t="s">
        <v>11</v>
      </c>
      <c r="J160" s="40" t="s">
        <v>11</v>
      </c>
      <c r="K160" s="40" t="s">
        <v>78</v>
      </c>
      <c r="L160" s="42" t="s">
        <v>634</v>
      </c>
      <c r="M160" s="43" t="n">
        <v>5.33333333333333</v>
      </c>
      <c r="N160" s="44" t="n">
        <v>480000</v>
      </c>
      <c r="O160" s="45" t="n">
        <v>90000</v>
      </c>
      <c r="P160" s="40" t="s">
        <v>632</v>
      </c>
      <c r="Q160" s="40" t="s">
        <v>171</v>
      </c>
      <c r="R160" s="42" t="s">
        <v>137</v>
      </c>
      <c r="S160" s="40" t="n">
        <v>1</v>
      </c>
      <c r="T160" s="40" t="n">
        <v>0</v>
      </c>
      <c r="U160" s="0" t="n">
        <f aca="false">IF(AND(OR('Daily Profitability'!$E$3="All",ISNUMBER(SEARCH('Daily Profitability'!$E$3,F160))),OR('Daily Profitability'!$H$3="All",I160='Daily Profitability'!$H$3),OR('Daily Profitability'!$K$3="All",J160='Daily Profitability'!$K$3),OR('Daily Profitability'!$N$3="All",K160='Daily Profitability'!$N$3)),1,0)</f>
        <v>1</v>
      </c>
    </row>
    <row r="161" customFormat="false" ht="15" hidden="false" customHeight="false" outlineLevel="0" collapsed="false">
      <c r="A161" s="40" t="s">
        <v>635</v>
      </c>
      <c r="B161" s="40" t="s">
        <v>630</v>
      </c>
      <c r="C161" s="40" t="s">
        <v>631</v>
      </c>
      <c r="D161" s="41" t="n">
        <v>46250</v>
      </c>
      <c r="E161" s="40" t="s">
        <v>26</v>
      </c>
      <c r="F161" s="40" t="s">
        <v>379</v>
      </c>
      <c r="G161" s="42" t="s">
        <v>380</v>
      </c>
      <c r="H161" s="40" t="s">
        <v>381</v>
      </c>
      <c r="I161" s="40" t="s">
        <v>55</v>
      </c>
      <c r="J161" s="40" t="s">
        <v>29</v>
      </c>
      <c r="K161" s="40" t="s">
        <v>78</v>
      </c>
      <c r="L161" s="42" t="s">
        <v>636</v>
      </c>
      <c r="M161" s="43" t="n">
        <v>6.66666666666667</v>
      </c>
      <c r="N161" s="44" t="n">
        <v>600000</v>
      </c>
      <c r="O161" s="45" t="n">
        <v>90000</v>
      </c>
      <c r="P161" s="40" t="s">
        <v>632</v>
      </c>
      <c r="Q161" s="40" t="s">
        <v>141</v>
      </c>
      <c r="R161" s="42" t="s">
        <v>137</v>
      </c>
      <c r="S161" s="40" t="n">
        <v>1</v>
      </c>
      <c r="T161" s="40" t="n">
        <v>0</v>
      </c>
      <c r="U161" s="0" t="n">
        <f aca="false">IF(AND(OR('Daily Profitability'!$E$3="All",ISNUMBER(SEARCH('Daily Profitability'!$E$3,F161))),OR('Daily Profitability'!$H$3="All",I161='Daily Profitability'!$H$3),OR('Daily Profitability'!$K$3="All",J161='Daily Profitability'!$K$3),OR('Daily Profitability'!$N$3="All",K161='Daily Profitability'!$N$3)),1,0)</f>
        <v>0</v>
      </c>
    </row>
    <row r="162" customFormat="false" ht="15" hidden="false" customHeight="false" outlineLevel="0" collapsed="false">
      <c r="A162" s="40" t="s">
        <v>637</v>
      </c>
      <c r="B162" s="40" t="s">
        <v>638</v>
      </c>
      <c r="C162" s="40" t="s">
        <v>639</v>
      </c>
      <c r="D162" s="41" t="n">
        <v>46250</v>
      </c>
      <c r="E162" s="40" t="s">
        <v>26</v>
      </c>
      <c r="F162" s="40" t="s">
        <v>16</v>
      </c>
      <c r="G162" s="42" t="s">
        <v>16</v>
      </c>
      <c r="H162" s="40" t="s">
        <v>11</v>
      </c>
      <c r="I162" s="40" t="s">
        <v>11</v>
      </c>
      <c r="J162" s="40" t="s">
        <v>11</v>
      </c>
      <c r="K162" s="40" t="s">
        <v>78</v>
      </c>
      <c r="L162" s="42" t="s">
        <v>320</v>
      </c>
      <c r="M162" s="43" t="n">
        <v>6.8</v>
      </c>
      <c r="N162" s="44" t="n">
        <v>612000</v>
      </c>
      <c r="O162" s="45" t="n">
        <v>90000</v>
      </c>
      <c r="P162" s="40" t="s">
        <v>632</v>
      </c>
      <c r="Q162" s="40" t="s">
        <v>144</v>
      </c>
      <c r="R162" s="42" t="s">
        <v>137</v>
      </c>
      <c r="S162" s="40" t="n">
        <v>1</v>
      </c>
      <c r="T162" s="40" t="n">
        <v>1</v>
      </c>
      <c r="U162" s="0" t="n">
        <f aca="false">IF(AND(OR('Daily Profitability'!$E$3="All",ISNUMBER(SEARCH('Daily Profitability'!$E$3,F162))),OR('Daily Profitability'!$H$3="All",I162='Daily Profitability'!$H$3),OR('Daily Profitability'!$K$3="All",J162='Daily Profitability'!$K$3),OR('Daily Profitability'!$N$3="All",K162='Daily Profitability'!$N$3)),1,0)</f>
        <v>1</v>
      </c>
    </row>
    <row r="163" customFormat="false" ht="15" hidden="false" customHeight="false" outlineLevel="0" collapsed="false">
      <c r="A163" s="40" t="s">
        <v>640</v>
      </c>
      <c r="B163" s="40" t="s">
        <v>641</v>
      </c>
      <c r="C163" s="40" t="s">
        <v>642</v>
      </c>
      <c r="D163" s="41" t="n">
        <v>46251</v>
      </c>
      <c r="E163" s="40" t="s">
        <v>26</v>
      </c>
      <c r="F163" s="40" t="s">
        <v>16</v>
      </c>
      <c r="G163" s="42" t="s">
        <v>16</v>
      </c>
      <c r="H163" s="40" t="s">
        <v>11</v>
      </c>
      <c r="I163" s="40" t="s">
        <v>11</v>
      </c>
      <c r="J163" s="40" t="s">
        <v>11</v>
      </c>
      <c r="K163" s="40" t="s">
        <v>78</v>
      </c>
      <c r="L163" s="42" t="s">
        <v>320</v>
      </c>
      <c r="M163" s="43" t="n">
        <v>5.83333333333333</v>
      </c>
      <c r="N163" s="44" t="n">
        <v>525000</v>
      </c>
      <c r="O163" s="45" t="n">
        <v>90000</v>
      </c>
      <c r="P163" s="40" t="s">
        <v>643</v>
      </c>
      <c r="Q163" s="40" t="s">
        <v>136</v>
      </c>
      <c r="R163" s="42" t="s">
        <v>137</v>
      </c>
      <c r="S163" s="40" t="n">
        <v>1</v>
      </c>
      <c r="T163" s="40" t="n">
        <v>1</v>
      </c>
      <c r="U163" s="0" t="n">
        <f aca="false">IF(AND(OR('Daily Profitability'!$E$3="All",ISNUMBER(SEARCH('Daily Profitability'!$E$3,F163))),OR('Daily Profitability'!$H$3="All",I163='Daily Profitability'!$H$3),OR('Daily Profitability'!$K$3="All",J163='Daily Profitability'!$K$3),OR('Daily Profitability'!$N$3="All",K163='Daily Profitability'!$N$3)),1,0)</f>
        <v>1</v>
      </c>
    </row>
    <row r="164" customFormat="false" ht="15" hidden="false" customHeight="false" outlineLevel="0" collapsed="false">
      <c r="A164" s="40" t="s">
        <v>644</v>
      </c>
      <c r="B164" s="40" t="s">
        <v>641</v>
      </c>
      <c r="C164" s="40" t="s">
        <v>642</v>
      </c>
      <c r="D164" s="41" t="n">
        <v>46251</v>
      </c>
      <c r="E164" s="40" t="s">
        <v>26</v>
      </c>
      <c r="F164" s="40" t="s">
        <v>379</v>
      </c>
      <c r="G164" s="42" t="s">
        <v>380</v>
      </c>
      <c r="H164" s="40" t="s">
        <v>381</v>
      </c>
      <c r="I164" s="40" t="s">
        <v>55</v>
      </c>
      <c r="J164" s="40" t="s">
        <v>29</v>
      </c>
      <c r="K164" s="40" t="s">
        <v>78</v>
      </c>
      <c r="L164" s="42" t="s">
        <v>645</v>
      </c>
      <c r="M164" s="43" t="n">
        <v>18.2777777777778</v>
      </c>
      <c r="N164" s="44" t="n">
        <v>1645000</v>
      </c>
      <c r="O164" s="45" t="n">
        <v>90000</v>
      </c>
      <c r="P164" s="40" t="s">
        <v>643</v>
      </c>
      <c r="Q164" s="40" t="s">
        <v>646</v>
      </c>
      <c r="R164" s="42" t="s">
        <v>137</v>
      </c>
      <c r="S164" s="40" t="n">
        <v>1</v>
      </c>
      <c r="T164" s="40" t="n">
        <v>0</v>
      </c>
      <c r="U164" s="0" t="n">
        <f aca="false">IF(AND(OR('Daily Profitability'!$E$3="All",ISNUMBER(SEARCH('Daily Profitability'!$E$3,F164))),OR('Daily Profitability'!$H$3="All",I164='Daily Profitability'!$H$3),OR('Daily Profitability'!$K$3="All",J164='Daily Profitability'!$K$3),OR('Daily Profitability'!$N$3="All",K164='Daily Profitability'!$N$3)),1,0)</f>
        <v>0</v>
      </c>
    </row>
    <row r="165" customFormat="false" ht="15" hidden="false" customHeight="false" outlineLevel="0" collapsed="false">
      <c r="A165" s="40" t="s">
        <v>647</v>
      </c>
      <c r="B165" s="40" t="s">
        <v>648</v>
      </c>
      <c r="C165" s="40" t="s">
        <v>649</v>
      </c>
      <c r="D165" s="41" t="n">
        <v>46252</v>
      </c>
      <c r="E165" s="40" t="s">
        <v>26</v>
      </c>
      <c r="F165" s="40" t="s">
        <v>16</v>
      </c>
      <c r="G165" s="42" t="s">
        <v>16</v>
      </c>
      <c r="H165" s="40" t="s">
        <v>11</v>
      </c>
      <c r="I165" s="40" t="s">
        <v>11</v>
      </c>
      <c r="J165" s="40" t="s">
        <v>11</v>
      </c>
      <c r="K165" s="40" t="s">
        <v>78</v>
      </c>
      <c r="L165" s="42" t="s">
        <v>650</v>
      </c>
      <c r="M165" s="43" t="n">
        <v>22.3033707865169</v>
      </c>
      <c r="N165" s="44" t="n">
        <v>1985000</v>
      </c>
      <c r="O165" s="45" t="n">
        <v>89000</v>
      </c>
      <c r="P165" s="40" t="s">
        <v>651</v>
      </c>
      <c r="Q165" s="40" t="s">
        <v>123</v>
      </c>
      <c r="R165" s="42" t="s">
        <v>137</v>
      </c>
      <c r="S165" s="40" t="n">
        <v>1</v>
      </c>
      <c r="T165" s="40" t="n">
        <v>1</v>
      </c>
      <c r="U165" s="0" t="n">
        <f aca="false">IF(AND(OR('Daily Profitability'!$E$3="All",ISNUMBER(SEARCH('Daily Profitability'!$E$3,F165))),OR('Daily Profitability'!$H$3="All",I165='Daily Profitability'!$H$3),OR('Daily Profitability'!$K$3="All",J165='Daily Profitability'!$K$3),OR('Daily Profitability'!$N$3="All",K165='Daily Profitability'!$N$3)),1,0)</f>
        <v>1</v>
      </c>
    </row>
    <row r="166" customFormat="false" ht="15" hidden="false" customHeight="false" outlineLevel="0" collapsed="false">
      <c r="A166" s="40" t="s">
        <v>652</v>
      </c>
      <c r="B166" s="40" t="s">
        <v>648</v>
      </c>
      <c r="C166" s="40" t="s">
        <v>649</v>
      </c>
      <c r="D166" s="41" t="n">
        <v>46252</v>
      </c>
      <c r="E166" s="40" t="s">
        <v>26</v>
      </c>
      <c r="F166" s="40" t="s">
        <v>379</v>
      </c>
      <c r="G166" s="42" t="s">
        <v>16</v>
      </c>
      <c r="H166" s="40" t="s">
        <v>381</v>
      </c>
      <c r="I166" s="40" t="s">
        <v>55</v>
      </c>
      <c r="J166" s="40" t="s">
        <v>29</v>
      </c>
      <c r="K166" s="40" t="s">
        <v>78</v>
      </c>
      <c r="L166" s="42" t="s">
        <v>653</v>
      </c>
      <c r="M166" s="43" t="n">
        <v>5.61797752808989</v>
      </c>
      <c r="N166" s="44" t="n">
        <v>500000</v>
      </c>
      <c r="O166" s="45" t="n">
        <v>89000</v>
      </c>
      <c r="P166" s="40" t="s">
        <v>651</v>
      </c>
      <c r="Q166" s="40" t="s">
        <v>214</v>
      </c>
      <c r="R166" s="42" t="s">
        <v>137</v>
      </c>
      <c r="S166" s="40" t="n">
        <v>1</v>
      </c>
      <c r="T166" s="40" t="n">
        <v>0</v>
      </c>
      <c r="U166" s="0" t="n">
        <f aca="false">IF(AND(OR('Daily Profitability'!$E$3="All",ISNUMBER(SEARCH('Daily Profitability'!$E$3,F166))),OR('Daily Profitability'!$H$3="All",I166='Daily Profitability'!$H$3),OR('Daily Profitability'!$K$3="All",J166='Daily Profitability'!$K$3),OR('Daily Profitability'!$N$3="All",K166='Daily Profitability'!$N$3)),1,0)</f>
        <v>0</v>
      </c>
    </row>
    <row r="167" customFormat="false" ht="15" hidden="false" customHeight="false" outlineLevel="0" collapsed="false">
      <c r="A167" s="40" t="s">
        <v>654</v>
      </c>
      <c r="B167" s="40" t="s">
        <v>655</v>
      </c>
      <c r="C167" s="40" t="s">
        <v>656</v>
      </c>
      <c r="D167" s="41" t="n">
        <v>46252</v>
      </c>
      <c r="E167" s="40" t="s">
        <v>26</v>
      </c>
      <c r="F167" s="40" t="s">
        <v>470</v>
      </c>
      <c r="G167" s="42" t="s">
        <v>657</v>
      </c>
      <c r="H167" s="40" t="s">
        <v>658</v>
      </c>
      <c r="I167" s="40" t="s">
        <v>11</v>
      </c>
      <c r="J167" s="40" t="s">
        <v>11</v>
      </c>
      <c r="K167" s="40" t="s">
        <v>85</v>
      </c>
      <c r="L167" s="42" t="s">
        <v>659</v>
      </c>
      <c r="M167" s="43" t="n">
        <v>8.008</v>
      </c>
      <c r="N167" s="44" t="n">
        <v>720720</v>
      </c>
      <c r="O167" s="45" t="n">
        <v>90000</v>
      </c>
      <c r="P167" s="40" t="s">
        <v>651</v>
      </c>
      <c r="Q167" s="40" t="s">
        <v>129</v>
      </c>
      <c r="R167" s="42" t="s">
        <v>137</v>
      </c>
      <c r="S167" s="40" t="n">
        <v>1</v>
      </c>
      <c r="T167" s="40" t="n">
        <v>1</v>
      </c>
      <c r="U167" s="0" t="n">
        <f aca="false">IF(AND(OR('Daily Profitability'!$E$3="All",ISNUMBER(SEARCH('Daily Profitability'!$E$3,F167))),OR('Daily Profitability'!$H$3="All",I167='Daily Profitability'!$H$3),OR('Daily Profitability'!$K$3="All",J167='Daily Profitability'!$K$3),OR('Daily Profitability'!$N$3="All",K167='Daily Profitability'!$N$3)),1,0)</f>
        <v>1</v>
      </c>
    </row>
    <row r="168" customFormat="false" ht="23.85" hidden="false" customHeight="false" outlineLevel="0" collapsed="false">
      <c r="A168" s="40" t="s">
        <v>660</v>
      </c>
      <c r="B168" s="40" t="s">
        <v>661</v>
      </c>
      <c r="C168" s="40" t="s">
        <v>662</v>
      </c>
      <c r="D168" s="41" t="n">
        <v>46252</v>
      </c>
      <c r="E168" s="40" t="s">
        <v>26</v>
      </c>
      <c r="F168" s="40" t="s">
        <v>16</v>
      </c>
      <c r="G168" s="42" t="s">
        <v>16</v>
      </c>
      <c r="H168" s="40" t="s">
        <v>11</v>
      </c>
      <c r="I168" s="40" t="s">
        <v>11</v>
      </c>
      <c r="J168" s="40" t="s">
        <v>11</v>
      </c>
      <c r="K168" s="40" t="s">
        <v>76</v>
      </c>
      <c r="L168" s="42" t="s">
        <v>663</v>
      </c>
      <c r="M168" s="43" t="n">
        <v>114.584959666667</v>
      </c>
      <c r="N168" s="44" t="n">
        <v>10312646.37</v>
      </c>
      <c r="O168" s="45" t="n">
        <v>90000</v>
      </c>
      <c r="P168" s="40" t="s">
        <v>651</v>
      </c>
      <c r="Q168" s="40" t="s">
        <v>664</v>
      </c>
      <c r="R168" s="42" t="s">
        <v>137</v>
      </c>
      <c r="S168" s="40" t="n">
        <v>1</v>
      </c>
      <c r="T168" s="40" t="n">
        <v>1</v>
      </c>
      <c r="U168" s="0" t="n">
        <f aca="false">IF(AND(OR('Daily Profitability'!$E$3="All",ISNUMBER(SEARCH('Daily Profitability'!$E$3,F168))),OR('Daily Profitability'!$H$3="All",I168='Daily Profitability'!$H$3),OR('Daily Profitability'!$K$3="All",J168='Daily Profitability'!$K$3),OR('Daily Profitability'!$N$3="All",K168='Daily Profitability'!$N$3)),1,0)</f>
        <v>1</v>
      </c>
    </row>
    <row r="169" customFormat="false" ht="23.85" hidden="false" customHeight="false" outlineLevel="0" collapsed="false">
      <c r="A169" s="40" t="s">
        <v>665</v>
      </c>
      <c r="B169" s="40" t="s">
        <v>666</v>
      </c>
      <c r="C169" s="40" t="s">
        <v>667</v>
      </c>
      <c r="D169" s="41" t="n">
        <v>46256</v>
      </c>
      <c r="E169" s="40" t="s">
        <v>26</v>
      </c>
      <c r="F169" s="40" t="s">
        <v>32</v>
      </c>
      <c r="G169" s="42" t="s">
        <v>392</v>
      </c>
      <c r="H169" s="40" t="s">
        <v>392</v>
      </c>
      <c r="I169" s="40" t="s">
        <v>52</v>
      </c>
      <c r="J169" s="40" t="s">
        <v>63</v>
      </c>
      <c r="K169" s="40" t="s">
        <v>59</v>
      </c>
      <c r="L169" s="42" t="s">
        <v>668</v>
      </c>
      <c r="M169" s="43" t="n">
        <v>200</v>
      </c>
      <c r="N169" s="44" t="n">
        <v>0</v>
      </c>
      <c r="O169" s="45"/>
      <c r="P169" s="40" t="s">
        <v>669</v>
      </c>
      <c r="Q169" s="40" t="s">
        <v>141</v>
      </c>
      <c r="R169" s="42" t="s">
        <v>670</v>
      </c>
      <c r="S169" s="40" t="n">
        <v>1</v>
      </c>
      <c r="T169" s="40" t="n">
        <v>1</v>
      </c>
      <c r="U169" s="0" t="n">
        <f aca="false">IF(AND(OR('Daily Profitability'!$E$3="All",ISNUMBER(SEARCH('Daily Profitability'!$E$3,F169))),OR('Daily Profitability'!$H$3="All",I169='Daily Profitability'!$H$3),OR('Daily Profitability'!$K$3="All",J169='Daily Profitability'!$K$3),OR('Daily Profitability'!$N$3="All",K169='Daily Profitability'!$N$3)),1,0)</f>
        <v>0</v>
      </c>
    </row>
    <row r="170" customFormat="false" ht="23.85" hidden="false" customHeight="false" outlineLevel="0" collapsed="false">
      <c r="A170" s="40" t="s">
        <v>671</v>
      </c>
      <c r="B170" s="40" t="s">
        <v>672</v>
      </c>
      <c r="C170" s="40" t="s">
        <v>126</v>
      </c>
      <c r="D170" s="41" t="n">
        <v>46256</v>
      </c>
      <c r="E170" s="40" t="s">
        <v>26</v>
      </c>
      <c r="F170" s="40" t="s">
        <v>32</v>
      </c>
      <c r="G170" s="42" t="s">
        <v>392</v>
      </c>
      <c r="H170" s="40" t="s">
        <v>392</v>
      </c>
      <c r="I170" s="40" t="s">
        <v>52</v>
      </c>
      <c r="J170" s="40" t="s">
        <v>63</v>
      </c>
      <c r="K170" s="40" t="s">
        <v>90</v>
      </c>
      <c r="L170" s="42" t="s">
        <v>673</v>
      </c>
      <c r="M170" s="43" t="n">
        <v>80</v>
      </c>
      <c r="N170" s="44" t="n">
        <v>0</v>
      </c>
      <c r="O170" s="45"/>
      <c r="P170" s="40" t="s">
        <v>669</v>
      </c>
      <c r="Q170" s="40" t="s">
        <v>144</v>
      </c>
      <c r="R170" s="42" t="s">
        <v>674</v>
      </c>
      <c r="S170" s="40" t="n">
        <v>1</v>
      </c>
      <c r="T170" s="40" t="n">
        <v>1</v>
      </c>
      <c r="U170" s="0" t="n">
        <f aca="false">IF(AND(OR('Daily Profitability'!$E$3="All",ISNUMBER(SEARCH('Daily Profitability'!$E$3,F170))),OR('Daily Profitability'!$H$3="All",I170='Daily Profitability'!$H$3),OR('Daily Profitability'!$K$3="All",J170='Daily Profitability'!$K$3),OR('Daily Profitability'!$N$3="All",K170='Daily Profitability'!$N$3)),1,0)</f>
        <v>0</v>
      </c>
    </row>
    <row r="171" customFormat="false" ht="15" hidden="false" customHeight="false" outlineLevel="0" collapsed="false">
      <c r="A171" s="40" t="s">
        <v>675</v>
      </c>
      <c r="B171" s="40" t="s">
        <v>676</v>
      </c>
      <c r="C171" s="40" t="s">
        <v>608</v>
      </c>
      <c r="D171" s="41" t="n">
        <v>46260</v>
      </c>
      <c r="E171" s="40" t="s">
        <v>26</v>
      </c>
      <c r="F171" s="40" t="s">
        <v>16</v>
      </c>
      <c r="G171" s="42" t="s">
        <v>16</v>
      </c>
      <c r="H171" s="40" t="s">
        <v>11</v>
      </c>
      <c r="I171" s="40" t="s">
        <v>11</v>
      </c>
      <c r="J171" s="40" t="s">
        <v>11</v>
      </c>
      <c r="K171" s="40" t="s">
        <v>35</v>
      </c>
      <c r="L171" s="42" t="s">
        <v>677</v>
      </c>
      <c r="M171" s="43" t="n">
        <v>58.26</v>
      </c>
      <c r="N171" s="44" t="n">
        <v>0</v>
      </c>
      <c r="O171" s="45"/>
      <c r="P171" s="40" t="s">
        <v>678</v>
      </c>
      <c r="Q171" s="40" t="s">
        <v>284</v>
      </c>
      <c r="R171" s="42" t="s">
        <v>137</v>
      </c>
      <c r="S171" s="40" t="n">
        <v>1</v>
      </c>
      <c r="T171" s="40" t="n">
        <v>1</v>
      </c>
      <c r="U171" s="0" t="n">
        <f aca="false">IF(AND(OR('Daily Profitability'!$E$3="All",ISNUMBER(SEARCH('Daily Profitability'!$E$3,F171))),OR('Daily Profitability'!$H$3="All",I171='Daily Profitability'!$H$3),OR('Daily Profitability'!$K$3="All",J171='Daily Profitability'!$K$3),OR('Daily Profitability'!$N$3="All",K171='Daily Profitability'!$N$3)),1,0)</f>
        <v>1</v>
      </c>
    </row>
    <row r="172" customFormat="false" ht="15" hidden="false" customHeight="false" outlineLevel="0" collapsed="false">
      <c r="A172" s="40" t="s">
        <v>679</v>
      </c>
      <c r="B172" s="40" t="s">
        <v>680</v>
      </c>
      <c r="C172" s="40" t="s">
        <v>126</v>
      </c>
      <c r="D172" s="41" t="n">
        <v>46260</v>
      </c>
      <c r="E172" s="40" t="s">
        <v>26</v>
      </c>
      <c r="F172" s="40" t="s">
        <v>16</v>
      </c>
      <c r="G172" s="42" t="s">
        <v>16</v>
      </c>
      <c r="H172" s="40" t="s">
        <v>11</v>
      </c>
      <c r="I172" s="40" t="s">
        <v>11</v>
      </c>
      <c r="J172" s="40" t="s">
        <v>11</v>
      </c>
      <c r="K172" s="40" t="s">
        <v>74</v>
      </c>
      <c r="L172" s="42" t="s">
        <v>681</v>
      </c>
      <c r="M172" s="43" t="n">
        <v>5.67777777777778</v>
      </c>
      <c r="N172" s="44" t="n">
        <v>511000</v>
      </c>
      <c r="O172" s="45" t="n">
        <v>90000</v>
      </c>
      <c r="P172" s="40" t="s">
        <v>678</v>
      </c>
      <c r="Q172" s="40" t="s">
        <v>214</v>
      </c>
      <c r="R172" s="42" t="s">
        <v>402</v>
      </c>
      <c r="S172" s="40" t="n">
        <v>1</v>
      </c>
      <c r="T172" s="40" t="n">
        <v>1</v>
      </c>
      <c r="U172" s="0" t="n">
        <f aca="false">IF(AND(OR('Daily Profitability'!$E$3="All",ISNUMBER(SEARCH('Daily Profitability'!$E$3,F172))),OR('Daily Profitability'!$H$3="All",I172='Daily Profitability'!$H$3),OR('Daily Profitability'!$K$3="All",J172='Daily Profitability'!$K$3),OR('Daily Profitability'!$N$3="All",K172='Daily Profitability'!$N$3)),1,0)</f>
        <v>1</v>
      </c>
    </row>
    <row r="173" customFormat="false" ht="15" hidden="false" customHeight="false" outlineLevel="0" collapsed="false">
      <c r="A173" s="40" t="s">
        <v>682</v>
      </c>
      <c r="B173" s="40" t="s">
        <v>683</v>
      </c>
      <c r="C173" s="40" t="s">
        <v>684</v>
      </c>
      <c r="D173" s="41" t="n">
        <v>46260</v>
      </c>
      <c r="E173" s="40" t="s">
        <v>26</v>
      </c>
      <c r="F173" s="40" t="s">
        <v>16</v>
      </c>
      <c r="G173" s="42" t="s">
        <v>16</v>
      </c>
      <c r="H173" s="40" t="s">
        <v>11</v>
      </c>
      <c r="I173" s="40" t="s">
        <v>11</v>
      </c>
      <c r="J173" s="40" t="s">
        <v>11</v>
      </c>
      <c r="K173" s="40" t="s">
        <v>44</v>
      </c>
      <c r="L173" s="42" t="s">
        <v>685</v>
      </c>
      <c r="M173" s="43" t="n">
        <v>20.7303370786517</v>
      </c>
      <c r="N173" s="44" t="n">
        <v>1845000</v>
      </c>
      <c r="O173" s="45" t="n">
        <v>88999.9999999999</v>
      </c>
      <c r="P173" s="40" t="s">
        <v>678</v>
      </c>
      <c r="Q173" s="40" t="s">
        <v>147</v>
      </c>
      <c r="R173" s="42" t="s">
        <v>137</v>
      </c>
      <c r="S173" s="40" t="n">
        <v>1</v>
      </c>
      <c r="T173" s="40" t="n">
        <v>1</v>
      </c>
      <c r="U173" s="0" t="n">
        <f aca="false">IF(AND(OR('Daily Profitability'!$E$3="All",ISNUMBER(SEARCH('Daily Profitability'!$E$3,F173))),OR('Daily Profitability'!$H$3="All",I173='Daily Profitability'!$H$3),OR('Daily Profitability'!$K$3="All",J173='Daily Profitability'!$K$3),OR('Daily Profitability'!$N$3="All",K173='Daily Profitability'!$N$3)),1,0)</f>
        <v>1</v>
      </c>
    </row>
    <row r="174" customFormat="false" ht="15" hidden="false" customHeight="false" outlineLevel="0" collapsed="false">
      <c r="A174" s="40" t="s">
        <v>686</v>
      </c>
      <c r="B174" s="40" t="s">
        <v>687</v>
      </c>
      <c r="C174" s="40" t="s">
        <v>688</v>
      </c>
      <c r="D174" s="41" t="n">
        <v>46260</v>
      </c>
      <c r="E174" s="40" t="s">
        <v>26</v>
      </c>
      <c r="F174" s="40" t="s">
        <v>32</v>
      </c>
      <c r="G174" s="42" t="s">
        <v>392</v>
      </c>
      <c r="H174" s="40" t="s">
        <v>392</v>
      </c>
      <c r="I174" s="40" t="s">
        <v>17</v>
      </c>
      <c r="J174" s="40" t="s">
        <v>18</v>
      </c>
      <c r="K174" s="40" t="s">
        <v>88</v>
      </c>
      <c r="L174" s="42" t="s">
        <v>689</v>
      </c>
      <c r="M174" s="43" t="n">
        <v>25.6517752808989</v>
      </c>
      <c r="N174" s="44" t="n">
        <v>2283008</v>
      </c>
      <c r="O174" s="45" t="n">
        <v>88999.9999999999</v>
      </c>
      <c r="P174" s="40" t="s">
        <v>678</v>
      </c>
      <c r="Q174" s="40" t="s">
        <v>129</v>
      </c>
      <c r="R174" s="42" t="s">
        <v>137</v>
      </c>
      <c r="S174" s="40" t="n">
        <v>1</v>
      </c>
      <c r="T174" s="40" t="n">
        <v>1</v>
      </c>
      <c r="U174" s="0" t="n">
        <f aca="false">IF(AND(OR('Daily Profitability'!$E$3="All",ISNUMBER(SEARCH('Daily Profitability'!$E$3,F174))),OR('Daily Profitability'!$H$3="All",I174='Daily Profitability'!$H$3),OR('Daily Profitability'!$K$3="All",J174='Daily Profitability'!$K$3),OR('Daily Profitability'!$N$3="All",K174='Daily Profitability'!$N$3)),1,0)</f>
        <v>0</v>
      </c>
    </row>
    <row r="175" customFormat="false" ht="15" hidden="false" customHeight="false" outlineLevel="0" collapsed="false">
      <c r="A175" s="40" t="s">
        <v>690</v>
      </c>
      <c r="B175" s="40" t="s">
        <v>691</v>
      </c>
      <c r="C175" s="40" t="s">
        <v>692</v>
      </c>
      <c r="D175" s="41" t="n">
        <v>46260</v>
      </c>
      <c r="E175" s="40" t="s">
        <v>26</v>
      </c>
      <c r="F175" s="40" t="s">
        <v>16</v>
      </c>
      <c r="G175" s="42" t="s">
        <v>16</v>
      </c>
      <c r="H175" s="40" t="s">
        <v>11</v>
      </c>
      <c r="I175" s="40" t="s">
        <v>11</v>
      </c>
      <c r="J175" s="40" t="s">
        <v>11</v>
      </c>
      <c r="K175" s="40" t="s">
        <v>76</v>
      </c>
      <c r="L175" s="42" t="s">
        <v>693</v>
      </c>
      <c r="M175" s="43" t="n">
        <v>40.5062921348315</v>
      </c>
      <c r="N175" s="44" t="n">
        <v>3605060</v>
      </c>
      <c r="O175" s="45" t="n">
        <v>88999.9999999999</v>
      </c>
      <c r="P175" s="40" t="s">
        <v>678</v>
      </c>
      <c r="Q175" s="40" t="s">
        <v>151</v>
      </c>
      <c r="R175" s="42" t="s">
        <v>137</v>
      </c>
      <c r="S175" s="40" t="n">
        <v>1</v>
      </c>
      <c r="T175" s="40" t="n">
        <v>1</v>
      </c>
      <c r="U175" s="0" t="n">
        <f aca="false">IF(AND(OR('Daily Profitability'!$E$3="All",ISNUMBER(SEARCH('Daily Profitability'!$E$3,F175))),OR('Daily Profitability'!$H$3="All",I175='Daily Profitability'!$H$3),OR('Daily Profitability'!$K$3="All",J175='Daily Profitability'!$K$3),OR('Daily Profitability'!$N$3="All",K175='Daily Profitability'!$N$3)),1,0)</f>
        <v>1</v>
      </c>
    </row>
    <row r="176" customFormat="false" ht="23.85" hidden="false" customHeight="false" outlineLevel="0" collapsed="false">
      <c r="A176" s="40" t="s">
        <v>694</v>
      </c>
      <c r="B176" s="40" t="s">
        <v>695</v>
      </c>
      <c r="C176" s="40" t="s">
        <v>608</v>
      </c>
      <c r="D176" s="41" t="n">
        <v>46263</v>
      </c>
      <c r="E176" s="40" t="s">
        <v>26</v>
      </c>
      <c r="F176" s="40" t="s">
        <v>16</v>
      </c>
      <c r="G176" s="42" t="s">
        <v>16</v>
      </c>
      <c r="H176" s="40" t="s">
        <v>11</v>
      </c>
      <c r="I176" s="40" t="s">
        <v>11</v>
      </c>
      <c r="J176" s="40" t="s">
        <v>11</v>
      </c>
      <c r="K176" s="40" t="s">
        <v>89</v>
      </c>
      <c r="L176" s="42" t="s">
        <v>696</v>
      </c>
      <c r="M176" s="43" t="n">
        <v>42.247191011236</v>
      </c>
      <c r="N176" s="44" t="n">
        <v>3760000</v>
      </c>
      <c r="O176" s="45" t="n">
        <v>89000</v>
      </c>
      <c r="P176" s="40" t="s">
        <v>697</v>
      </c>
      <c r="Q176" s="40" t="s">
        <v>384</v>
      </c>
      <c r="R176" s="42" t="s">
        <v>137</v>
      </c>
      <c r="S176" s="40" t="n">
        <v>1</v>
      </c>
      <c r="T176" s="40" t="n">
        <v>1</v>
      </c>
      <c r="U176" s="0" t="n">
        <f aca="false">IF(AND(OR('Daily Profitability'!$E$3="All",ISNUMBER(SEARCH('Daily Profitability'!$E$3,F176))),OR('Daily Profitability'!$H$3="All",I176='Daily Profitability'!$H$3),OR('Daily Profitability'!$K$3="All",J176='Daily Profitability'!$K$3),OR('Daily Profitability'!$N$3="All",K176='Daily Profitability'!$N$3)),1,0)</f>
        <v>1</v>
      </c>
    </row>
    <row r="177" customFormat="false" ht="15" hidden="false" customHeight="false" outlineLevel="0" collapsed="false">
      <c r="A177" s="40" t="s">
        <v>698</v>
      </c>
      <c r="B177" s="40" t="s">
        <v>699</v>
      </c>
      <c r="C177" s="40" t="s">
        <v>126</v>
      </c>
      <c r="D177" s="41" t="n">
        <v>46263</v>
      </c>
      <c r="E177" s="40" t="s">
        <v>26</v>
      </c>
      <c r="F177" s="40" t="s">
        <v>16</v>
      </c>
      <c r="G177" s="42" t="s">
        <v>16</v>
      </c>
      <c r="H177" s="40" t="s">
        <v>11</v>
      </c>
      <c r="I177" s="40" t="s">
        <v>11</v>
      </c>
      <c r="J177" s="40" t="s">
        <v>11</v>
      </c>
      <c r="K177" s="40" t="s">
        <v>35</v>
      </c>
      <c r="L177" s="42" t="s">
        <v>277</v>
      </c>
      <c r="M177" s="43" t="n">
        <v>17.34</v>
      </c>
      <c r="N177" s="44" t="n">
        <v>0</v>
      </c>
      <c r="O177" s="45"/>
      <c r="P177" s="40" t="s">
        <v>697</v>
      </c>
      <c r="Q177" s="40" t="s">
        <v>460</v>
      </c>
      <c r="R177" s="42" t="s">
        <v>402</v>
      </c>
      <c r="S177" s="40" t="n">
        <v>1</v>
      </c>
      <c r="T177" s="40" t="n">
        <v>1</v>
      </c>
      <c r="U177" s="0" t="n">
        <f aca="false">IF(AND(OR('Daily Profitability'!$E$3="All",ISNUMBER(SEARCH('Daily Profitability'!$E$3,F177))),OR('Daily Profitability'!$H$3="All",I177='Daily Profitability'!$H$3),OR('Daily Profitability'!$K$3="All",J177='Daily Profitability'!$K$3),OR('Daily Profitability'!$N$3="All",K177='Daily Profitability'!$N$3)),1,0)</f>
        <v>1</v>
      </c>
    </row>
    <row r="178" customFormat="false" ht="15" hidden="false" customHeight="false" outlineLevel="0" collapsed="false">
      <c r="A178" s="40" t="s">
        <v>700</v>
      </c>
      <c r="B178" s="40" t="s">
        <v>701</v>
      </c>
      <c r="C178" s="40" t="s">
        <v>702</v>
      </c>
      <c r="D178" s="41" t="n">
        <v>46263</v>
      </c>
      <c r="E178" s="40" t="s">
        <v>26</v>
      </c>
      <c r="F178" s="40" t="s">
        <v>16</v>
      </c>
      <c r="G178" s="42" t="s">
        <v>16</v>
      </c>
      <c r="H178" s="40" t="s">
        <v>11</v>
      </c>
      <c r="I178" s="40" t="s">
        <v>11</v>
      </c>
      <c r="J178" s="40" t="s">
        <v>11</v>
      </c>
      <c r="K178" s="40" t="s">
        <v>44</v>
      </c>
      <c r="L178" s="42" t="s">
        <v>685</v>
      </c>
      <c r="M178" s="43" t="n">
        <v>23.0337078651685</v>
      </c>
      <c r="N178" s="44" t="n">
        <v>2050000</v>
      </c>
      <c r="O178" s="45" t="n">
        <v>89000.0000000002</v>
      </c>
      <c r="P178" s="40" t="s">
        <v>697</v>
      </c>
      <c r="Q178" s="40" t="s">
        <v>306</v>
      </c>
      <c r="R178" s="42" t="s">
        <v>137</v>
      </c>
      <c r="S178" s="40" t="n">
        <v>1</v>
      </c>
      <c r="T178" s="40" t="n">
        <v>1</v>
      </c>
      <c r="U178" s="0" t="n">
        <f aca="false">IF(AND(OR('Daily Profitability'!$E$3="All",ISNUMBER(SEARCH('Daily Profitability'!$E$3,F178))),OR('Daily Profitability'!$H$3="All",I178='Daily Profitability'!$H$3),OR('Daily Profitability'!$K$3="All",J178='Daily Profitability'!$K$3),OR('Daily Profitability'!$N$3="All",K178='Daily Profitability'!$N$3)),1,0)</f>
        <v>1</v>
      </c>
    </row>
    <row r="180" customFormat="false" ht="15" hidden="false" customHeight="false" outlineLevel="0" collapsed="false">
      <c r="A180" s="46" t="s">
        <v>703</v>
      </c>
      <c r="B180" s="46"/>
      <c r="C180" s="46"/>
      <c r="D180" s="46"/>
      <c r="E180" s="46"/>
      <c r="F180" s="46"/>
      <c r="G180" s="46"/>
      <c r="H180" s="46"/>
      <c r="I180" s="46"/>
      <c r="J180" s="46"/>
      <c r="K180" s="46"/>
      <c r="L180" s="46"/>
      <c r="M180" s="47" t="n">
        <f aca="false">SUM(M5:M178)</f>
        <v>10733.9673578025</v>
      </c>
      <c r="N180" s="48"/>
      <c r="O180" s="48"/>
      <c r="P180" s="48"/>
      <c r="Q180" s="48"/>
      <c r="R180" s="48" t="s">
        <v>704</v>
      </c>
      <c r="S180" s="48"/>
      <c r="T180" s="48"/>
      <c r="U180" s="49"/>
    </row>
  </sheetData>
  <mergeCells count="3">
    <mergeCell ref="A1:U1"/>
    <mergeCell ref="A2:U2"/>
    <mergeCell ref="A180:L180"/>
  </mergeCells>
  <conditionalFormatting sqref="R5:R178">
    <cfRule type="containsText" priority="2" operator="containsText" aboveAverage="0" equalAverage="0" bottom="0" percent="0" rank="0" text="OK" dxfId="19">
      <formula>NOT(ISERROR(SEARCH("OK",R5)))</formula>
    </cfRule>
    <cfRule type="notContainsText" priority="3" operator="notContains" aboveAverage="0" equalAverage="0" bottom="0" percent="0" rank="0" text="OK" dxfId="20">
      <formula>ISERROR(SEARCH("OK",R5))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2026-09-11T03:39:32Z</dcterms:created>
  <dc:creator>Marleine</dc:creator>
  <dc:description/>
  <dc:language>en-US</dc:language>
  <cp:lastModifiedBy/>
  <dcterms:modified xsi:type="dcterms:W3CDTF">2026-09-12T12:25:14Z</dcterms:modified>
  <cp:revision>2</cp:revision>
  <dc:subject>July and August 2026 daily income, corrected expenses, revenue and net benefit</dc:subject>
  <dc:title>M - July &amp; August Daily Profitability</dc:title>
</cp:coreProperties>
</file>

<file path=docProps/custom.xml><?xml version="1.0" encoding="utf-8"?>
<Properties xmlns="http://schemas.openxmlformats.org/officeDocument/2006/custom-properties" xmlns:vt="http://schemas.openxmlformats.org/officeDocument/2006/docPropsVTypes"/>
</file>