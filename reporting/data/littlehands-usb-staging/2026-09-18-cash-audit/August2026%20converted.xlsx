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8eb48d23b447f2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21"/>
  </bookViews>
  <sheets>
    <sheet name="1-8-2026" sheetId="1" r:id="R4e744f2b61d646e5"/>
    <sheet name="2-8-2026" sheetId="2" r:id="R764b5325e8ef45bc"/>
    <sheet name="5-8-2026" sheetId="3" r:id="Re258d15f2d614704"/>
    <sheet name="6-8-2026" sheetId="4" r:id="R09c5169e42134e92"/>
    <sheet name="7-8-26" sheetId="5" r:id="R56efbf3ac4c14be8"/>
    <sheet name="8-8-2026" sheetId="6" r:id="R25156e0d098f4906"/>
    <sheet name="9-8-2026" sheetId="7" r:id="R0cbe1658b27b4326"/>
    <sheet name="12-8-2026" sheetId="8" r:id="Raf51095907294425"/>
    <sheet name="14-8-2026" sheetId="9" r:id="R6bd6ce4857e94e94"/>
    <sheet name="15-8-2026" sheetId="10" r:id="R830052f1869e4ac1"/>
    <sheet name="16-8-2026" sheetId="11" r:id="Rb13a5c9ec370471c"/>
    <sheet name="17-8-2026" sheetId="12" r:id="R32ac3c4ffaeb4601"/>
    <sheet name="18-8--2026" sheetId="13" r:id="R9dd5493628ca481e"/>
    <sheet name="21-8-2026" sheetId="14" r:id="R9fbbb63643874e0a"/>
    <sheet name="22-8-2026" sheetId="15" r:id="Rac6373773ead42e5"/>
    <sheet name="23-8-2026" sheetId="16" r:id="Raa0637955d39416d"/>
    <sheet name="25-8-2026" sheetId="17" r:id="Re24ff1d75bd74dde"/>
    <sheet name="26-8-2026" sheetId="18" r:id="Rcd7aaf4204da4ee6"/>
    <sheet name="28-6-2026" sheetId="19" r:id="R16902ee03f954d54"/>
    <sheet name="29-8-2026" sheetId="20" r:id="R94849928c7a642b8"/>
    <sheet name="30-8-2026" sheetId="21" r:id="Rd26dba30d5324f57"/>
    <sheet name="Total August" sheetId="22" r:id="Rdcd3f9e9e5ea4ff5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rlito"/>
      <color rgb="FF000000"/>
      <sz val="11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 xfId="0"/>
  </cellStyleXfs>
  <cellXfs count="1">
    <xf numFmtId="0" fontId="0" fillId="0" borderId="0" xfId="0"/>
  </cellXfs>
  <cellStyles count="1">
    <cellStyle name="Normal" xfId="0"/>
  </cellStyles>
</styleSheet>
</file>

<file path=xl/_rels/workbook.xml.rels><?xml version="1.0" encoding="UTF-8" standalone="yes"?>
<Relationships xmlns="http://schemas.openxmlformats.org/package/2006/relationships"><Relationship Id="R09c5169e42134e92" Type="http://schemas.openxmlformats.org/officeDocument/2006/relationships/worksheet" Target="/xl/worksheets/sheet4.xml" TargetMode="Internal"/><Relationship Id="R0cbe1658b27b4326" Type="http://schemas.openxmlformats.org/officeDocument/2006/relationships/worksheet" Target="/xl/worksheets/sheet7.xml" TargetMode="Internal"/><Relationship Id="R16902ee03f954d54" Type="http://schemas.openxmlformats.org/officeDocument/2006/relationships/worksheet" Target="/xl/worksheets/sheet19.xml" TargetMode="Internal"/><Relationship Id="R25156e0d098f4906" Type="http://schemas.openxmlformats.org/officeDocument/2006/relationships/worksheet" Target="/xl/worksheets/sheet6.xml" TargetMode="Internal"/><Relationship Id="R32ac3c4ffaeb4601" Type="http://schemas.openxmlformats.org/officeDocument/2006/relationships/worksheet" Target="/xl/worksheets/sheet12.xml" TargetMode="Internal"/><Relationship Id="R4e744f2b61d646e5" Type="http://schemas.openxmlformats.org/officeDocument/2006/relationships/worksheet" Target="/xl/worksheets/sheet1.xml" TargetMode="Internal"/><Relationship Id="R56efbf3ac4c14be8" Type="http://schemas.openxmlformats.org/officeDocument/2006/relationships/worksheet" Target="/xl/worksheets/sheet5.xml" TargetMode="Internal"/><Relationship Id="R6bd6ce4857e94e94" Type="http://schemas.openxmlformats.org/officeDocument/2006/relationships/worksheet" Target="/xl/worksheets/sheet9.xml" TargetMode="Internal"/><Relationship Id="R764b5325e8ef45bc" Type="http://schemas.openxmlformats.org/officeDocument/2006/relationships/worksheet" Target="/xl/worksheets/sheet2.xml" TargetMode="Internal"/><Relationship Id="R778838c108164ca9" Type="http://schemas.openxmlformats.org/officeDocument/2006/relationships/sharedStrings" Target="/xl/sharedStrings.xml" TargetMode="Internal"/><Relationship Id="R830052f1869e4ac1" Type="http://schemas.openxmlformats.org/officeDocument/2006/relationships/worksheet" Target="/xl/worksheets/sheet10.xml" TargetMode="Internal"/><Relationship Id="R94849928c7a642b8" Type="http://schemas.openxmlformats.org/officeDocument/2006/relationships/worksheet" Target="/xl/worksheets/sheet20.xml" TargetMode="Internal"/><Relationship Id="R9dd5493628ca481e" Type="http://schemas.openxmlformats.org/officeDocument/2006/relationships/worksheet" Target="/xl/worksheets/sheet13.xml" TargetMode="Internal"/><Relationship Id="R9fbbb63643874e0a" Type="http://schemas.openxmlformats.org/officeDocument/2006/relationships/worksheet" Target="/xl/worksheets/sheet14.xml" TargetMode="Internal"/><Relationship Id="Raa0637955d39416d" Type="http://schemas.openxmlformats.org/officeDocument/2006/relationships/worksheet" Target="/xl/worksheets/sheet16.xml" TargetMode="Internal"/><Relationship Id="Rac6373773ead42e5" Type="http://schemas.openxmlformats.org/officeDocument/2006/relationships/worksheet" Target="/xl/worksheets/sheet15.xml" TargetMode="Internal"/><Relationship Id="Raf51095907294425" Type="http://schemas.openxmlformats.org/officeDocument/2006/relationships/worksheet" Target="/xl/worksheets/sheet8.xml" TargetMode="Internal"/><Relationship Id="Rb13a5c9ec370471c" Type="http://schemas.openxmlformats.org/officeDocument/2006/relationships/worksheet" Target="/xl/worksheets/sheet11.xml" TargetMode="Internal"/><Relationship Id="Rba519aa1a57b4adb" Type="http://schemas.openxmlformats.org/officeDocument/2006/relationships/styles" Target="/xl/styles.xml" TargetMode="Internal"/><Relationship Id="Rc7153fd06c9a4807" Type="http://schemas.openxmlformats.org/officeDocument/2006/relationships/theme" Target="/xl/theme/theme1.xml" TargetMode="Internal"/><Relationship Id="Rcd7aaf4204da4ee6" Type="http://schemas.openxmlformats.org/officeDocument/2006/relationships/worksheet" Target="/xl/worksheets/sheet18.xml" TargetMode="Internal"/><Relationship Id="Rd26dba30d5324f57" Type="http://schemas.openxmlformats.org/officeDocument/2006/relationships/worksheet" Target="/xl/worksheets/sheet21.xml" TargetMode="Internal"/><Relationship Id="Rdcd3f9e9e5ea4ff5" Type="http://schemas.openxmlformats.org/officeDocument/2006/relationships/worksheet" Target="/xl/worksheets/sheet22.xml" TargetMode="Internal"/><Relationship Id="Re24ff1d75bd74dde" Type="http://schemas.openxmlformats.org/officeDocument/2006/relationships/worksheet" Target="/xl/worksheets/sheet17.xml" TargetMode="Internal"/><Relationship Id="Re258d15f2d614704" Type="http://schemas.openxmlformats.org/officeDocument/2006/relationships/worksheet" Target="/xl/worksheets/sheet3.xml" TargetMode="Interna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H6" sqref="H6"/>
    </sheetView>
  </sheetViews>
  <sheetFormatPr baseColWidth="8" defaultRowHeight="15"/>
  <sheetData>
    <row r="1">
      <c r="A1"/>
      <c r="B1"/>
      <c r="C1"/>
      <c r="D1"/>
      <c r="E1"/>
      <c r="F1"/>
      <c r="G1"/>
      <c r="H1"/>
    </row>
    <row r="2">
      <c r="A2"/>
      <c r="B2"/>
      <c r="C2"/>
      <c r="D2"/>
      <c r="E2"/>
      <c r="F2"/>
      <c r="G2"/>
      <c r="H2"/>
    </row>
    <row r="3">
      <c r="A3"/>
      <c r="B3" t="str">
        <v>Opening Petit cash </v>
      </c>
      <c r="C3"/>
      <c r="D3"/>
      <c r="E3">
        <v>0</v>
      </c>
      <c r="F3"/>
      <c r="G3"/>
      <c r="H3"/>
    </row>
    <row r="4">
      <c r="A4"/>
      <c r="B4" t="str">
        <v>Walk-in Today: Cash In USD</v>
      </c>
      <c r="C4"/>
      <c r="D4"/>
      <c r="E4">
        <v>250</v>
      </c>
      <c r="F4"/>
      <c r="G4"/>
      <c r="H4"/>
    </row>
    <row r="5">
      <c r="A5"/>
      <c r="B5" t="str">
        <v>Birthday Laura Ajamian </v>
      </c>
      <c r="C5"/>
      <c r="D5"/>
      <c r="E5">
        <v>645</v>
      </c>
      <c r="F5"/>
      <c r="G5"/>
      <c r="H5"/>
    </row>
    <row r="6">
      <c r="A6"/>
      <c r="B6" t="str">
        <v>Stephanie Jalwan D.P Birthday 9-8-2026</v>
      </c>
      <c r="C6"/>
      <c r="D6"/>
      <c r="E6">
        <v>300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 t="str">
        <v/>
      </c>
    </row>
    <row r="9">
      <c r="A9"/>
      <c r="B9"/>
      <c r="C9"/>
      <c r="D9"/>
      <c r="E9"/>
      <c r="F9"/>
      <c r="G9"/>
    </row>
    <row r="10">
      <c r="A10"/>
      <c r="B10" t="str">
        <v>Marwaha &amp; Lamp </v>
      </c>
      <c r="C10"/>
      <c r="D10"/>
      <c r="E10"/>
      <c r="F10">
        <v>15</v>
      </c>
      <c r="G10"/>
      <c r="H10"/>
    </row>
    <row r="11">
      <c r="A11"/>
      <c r="B11" t="str">
        <v>Manakich Zaatar </v>
      </c>
      <c r="C11"/>
      <c r="D11"/>
      <c r="E11"/>
      <c r="F11">
        <v>6</v>
      </c>
      <c r="G11"/>
      <c r="H11"/>
    </row>
    <row r="12">
      <c r="A12"/>
      <c r="B12" t="str">
        <v>Le Marchet Selectif </v>
      </c>
      <c r="C12"/>
      <c r="D12"/>
      <c r="E12"/>
      <c r="F12">
        <v>67</v>
      </c>
      <c r="G12"/>
      <c r="H12"/>
    </row>
    <row r="13">
      <c r="A13"/>
      <c r="B13" t="str">
        <v>Irtife2 w Tokhtit Baladiye</v>
      </c>
      <c r="C13"/>
      <c r="D13"/>
      <c r="E13"/>
      <c r="F13">
        <v>100</v>
      </c>
      <c r="G13"/>
      <c r="H13"/>
    </row>
    <row r="14">
      <c r="A14"/>
      <c r="B14" t="str">
        <v>Nour Haybe </v>
      </c>
      <c r="C14"/>
      <c r="D14"/>
      <c r="E14"/>
      <c r="F14">
        <v>26</v>
      </c>
      <c r="G14"/>
      <c r="H14"/>
    </row>
    <row r="15">
      <c r="A15"/>
      <c r="B15" t="str">
        <v>Nour Malek </v>
      </c>
      <c r="C15"/>
      <c r="D15"/>
      <c r="E15"/>
      <c r="F15">
        <v>26</v>
      </c>
      <c r="G15"/>
      <c r="H15"/>
    </row>
    <row r="16">
      <c r="A16"/>
      <c r="B16" t="str">
        <v>Le Marchet Selectif </v>
      </c>
      <c r="C16"/>
      <c r="D16"/>
      <c r="E16"/>
      <c r="F16">
        <v>20</v>
      </c>
      <c r="G16"/>
      <c r="H16"/>
    </row>
    <row r="17">
      <c r="A17"/>
      <c r="B17" t="str">
        <v>Amal Advance On Salary August </v>
      </c>
      <c r="C17"/>
      <c r="D17"/>
      <c r="E17"/>
      <c r="F17">
        <v>100</v>
      </c>
      <c r="G17"/>
      <c r="H17"/>
    </row>
    <row r="18">
      <c r="A18"/>
      <c r="B18" t="str">
        <v>Eva Maalouly</v>
      </c>
      <c r="C18"/>
      <c r="D18"/>
      <c r="E18"/>
      <c r="F18">
        <v>21</v>
      </c>
      <c r="G18"/>
      <c r="H18"/>
    </row>
    <row r="19">
      <c r="A19"/>
      <c r="B19"/>
      <c r="C19"/>
      <c r="D19"/>
      <c r="E19"/>
      <c r="F19">
        <v>0</v>
      </c>
      <c r="G19"/>
      <c r="H19"/>
    </row>
    <row r="20">
      <c r="A20"/>
      <c r="B20"/>
      <c r="C20"/>
      <c r="D20"/>
      <c r="E20"/>
      <c r="F20">
        <v>0</v>
      </c>
      <c r="G20"/>
      <c r="H20"/>
    </row>
    <row r="21">
      <c r="A21"/>
      <c r="B21"/>
      <c r="C21"/>
      <c r="D21"/>
      <c r="E21"/>
      <c r="F21">
        <v>0</v>
      </c>
      <c r="G21"/>
      <c r="H21"/>
    </row>
    <row r="22">
      <c r="A22"/>
      <c r="B22"/>
      <c r="C22"/>
      <c r="D22"/>
      <c r="E22"/>
      <c r="F22">
        <v>0</v>
      </c>
      <c r="G22"/>
      <c r="H22"/>
    </row>
    <row r="23">
      <c r="A23"/>
      <c r="B23" t="str">
        <v>Total</v>
      </c>
      <c r="C23"/>
      <c r="D23"/>
      <c r="E23">
        <f>E3+E4+E5+E6+E7+E8-F13-F14-F15-F10-F11-F12-F17-F16-F18</f>
        <v>814</v>
      </c>
      <c r="F23"/>
      <c r="G23"/>
      <c r="H23"/>
    </row>
  </sheetData>
  <mergeCells count="21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230</v>
      </c>
      <c r="F3"/>
    </row>
    <row r="4">
      <c r="A4"/>
      <c r="B4" t="str">
        <v>Walk-in Today: Cash In USD</v>
      </c>
      <c r="C4"/>
      <c r="D4"/>
      <c r="E4">
        <v>785</v>
      </c>
      <c r="F4"/>
    </row>
    <row r="5">
      <c r="A5"/>
      <c r="B5"/>
      <c r="C5"/>
      <c r="D5"/>
      <c r="E5">
        <v>0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Le Marchet Selectif </v>
      </c>
      <c r="C10"/>
      <c r="D10"/>
      <c r="E10"/>
      <c r="F10">
        <v>121</v>
      </c>
    </row>
    <row r="11">
      <c r="A11"/>
      <c r="B11" t="str">
        <v>Citern Water Little Hands (Old Inv)</v>
      </c>
      <c r="C11"/>
      <c r="D11"/>
      <c r="E11"/>
      <c r="F11">
        <v>80</v>
      </c>
    </row>
    <row r="12">
      <c r="A12"/>
      <c r="B12" t="str">
        <v>Citern Water Little Hands (New Inv)</v>
      </c>
      <c r="C12"/>
      <c r="D12"/>
      <c r="E12"/>
      <c r="F12">
        <v>20</v>
      </c>
    </row>
    <row r="13">
      <c r="A13"/>
      <c r="B13" t="str">
        <v>Nour Malek 2 Working day </v>
      </c>
      <c r="C13"/>
      <c r="D13"/>
      <c r="E13"/>
      <c r="F13">
        <v>40</v>
      </c>
    </row>
    <row r="14">
      <c r="A14"/>
      <c r="B14" t="str">
        <v>Brocoli (Geryes Malek ) Old Invoices </v>
      </c>
      <c r="C14"/>
      <c r="D14"/>
      <c r="E14"/>
      <c r="F14">
        <v>100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 s="0">
        <f>E3+E4+E5+E6+E7+E8-F13-F14-F18-F19-F20-F10-F11-F12</f>
        <v>654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Kinder Camp</v>
      </c>
      <c r="C5"/>
      <c r="D5"/>
      <c r="E5">
        <v>588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Cleaning Supplies</v>
      </c>
      <c r="C10"/>
      <c r="D10"/>
      <c r="E10"/>
      <c r="F10">
        <v>30</v>
      </c>
    </row>
    <row r="11">
      <c r="A11"/>
      <c r="B11" t="str">
        <v>Shein Orders </v>
      </c>
      <c r="C11"/>
      <c r="D11"/>
      <c r="E11"/>
      <c r="F11">
        <v>125</v>
      </c>
    </row>
    <row r="12">
      <c r="A12"/>
      <c r="B12" t="str">
        <v>Lara Cleaning H Of Sunday </v>
      </c>
      <c r="C12"/>
      <c r="D12"/>
      <c r="E12"/>
      <c r="F12">
        <v>28</v>
      </c>
    </row>
    <row r="13">
      <c r="A13"/>
      <c r="B13" t="str">
        <v>Benzin Thaer</v>
      </c>
      <c r="C13"/>
      <c r="D13"/>
      <c r="E13"/>
      <c r="F13">
        <v>70</v>
      </c>
    </row>
    <row r="14">
      <c r="A14"/>
      <c r="B14" t="str">
        <v>Mini Market Pierre Mallah </v>
      </c>
      <c r="C14"/>
      <c r="D14"/>
      <c r="E14"/>
      <c r="F14">
        <v>8</v>
      </c>
    </row>
    <row r="15">
      <c r="A15"/>
      <c r="B15" t="str">
        <v>Spinneys </v>
      </c>
      <c r="C15"/>
      <c r="D15"/>
      <c r="E15"/>
      <c r="F15">
        <v>31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E3+E4+E5+E6+E7+E8-F13-F14-F18-F19-F20-F10-F11-F12-F15</f>
        <v>296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0</v>
      </c>
      <c r="F4"/>
    </row>
    <row r="5">
      <c r="A5"/>
      <c r="B5" t="str">
        <v>College Melkart</v>
      </c>
      <c r="C5"/>
      <c r="D5"/>
      <c r="E5">
        <v>372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/>
      <c r="C10"/>
      <c r="D10"/>
      <c r="E10"/>
      <c r="F10">
        <v>0</v>
      </c>
    </row>
    <row r="11">
      <c r="A11"/>
      <c r="B11"/>
      <c r="C11"/>
      <c r="D11"/>
      <c r="E11"/>
      <c r="F11">
        <v>0</v>
      </c>
    </row>
    <row r="12">
      <c r="A12"/>
      <c r="B12"/>
      <c r="C12"/>
      <c r="D12"/>
      <c r="E12"/>
      <c r="F12">
        <v>0</v>
      </c>
    </row>
    <row r="13">
      <c r="A13"/>
      <c r="B13"/>
      <c r="C13"/>
      <c r="D13"/>
      <c r="E13"/>
      <c r="F13">
        <v>0</v>
      </c>
    </row>
    <row r="14">
      <c r="A14"/>
      <c r="B14"/>
      <c r="C14"/>
      <c r="D14"/>
      <c r="E14"/>
      <c r="F14">
        <v>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E3+E4+E5+E6+E7+E8-F13-F14-F18-F19-F20-F10-F11-F12-F15</f>
        <v>372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 t="str">
        <v>Opening Petit cash </v>
      </c>
      <c r="C3"/>
      <c r="D3"/>
      <c r="E3">
        <v>20</v>
      </c>
      <c r="F3"/>
      <c r="G3"/>
    </row>
    <row r="4">
      <c r="A4"/>
      <c r="B4" t="str">
        <v>Walk-in Today: Cash In USD</v>
      </c>
      <c r="C4"/>
      <c r="D4"/>
      <c r="E4">
        <v>0</v>
      </c>
      <c r="F4"/>
      <c r="G4"/>
    </row>
    <row r="5">
      <c r="A5"/>
      <c r="B5" t="str">
        <v>Modern Star Lebanon (Verdun&amp;Hazmieh)</v>
      </c>
      <c r="C5"/>
      <c r="D5"/>
      <c r="E5">
        <v>384</v>
      </c>
      <c r="F5"/>
      <c r="G5"/>
    </row>
    <row r="6">
      <c r="A6"/>
      <c r="B6" t="str">
        <v>Rabieh Nursery</v>
      </c>
      <c r="C6"/>
      <c r="D6"/>
      <c r="E6">
        <v>648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 t="str">
        <v/>
      </c>
    </row>
    <row r="9">
      <c r="A9"/>
      <c r="B9"/>
      <c r="C9"/>
      <c r="D9"/>
      <c r="E9"/>
      <c r="F9"/>
      <c r="G9"/>
    </row>
    <row r="10">
      <c r="A10"/>
      <c r="B10" t="str">
        <v>Nour Haybe</v>
      </c>
      <c r="C10"/>
      <c r="D10"/>
      <c r="E10"/>
      <c r="F10">
        <v>32</v>
      </c>
      <c r="G10"/>
    </row>
    <row r="11">
      <c r="A11"/>
      <c r="B11" t="str">
        <v>Cynthia Helo</v>
      </c>
      <c r="C11"/>
      <c r="D11"/>
      <c r="E11"/>
      <c r="F11">
        <v>25</v>
      </c>
      <c r="G11"/>
    </row>
    <row r="12">
      <c r="A12"/>
      <c r="B12" t="str">
        <v>Event Megastore ( Workshops &amp; Birthdays )</v>
      </c>
      <c r="C12"/>
      <c r="D12"/>
      <c r="E12"/>
      <c r="F12">
        <v>113</v>
      </c>
      <c r="G12"/>
    </row>
    <row r="13">
      <c r="A13"/>
      <c r="B13" t="str">
        <v>Nour Haybe </v>
      </c>
      <c r="C13"/>
      <c r="D13"/>
      <c r="E13"/>
      <c r="F13">
        <v>26</v>
      </c>
      <c r="G13"/>
    </row>
    <row r="14">
      <c r="A14"/>
      <c r="B14" t="str">
        <v>fairco International</v>
      </c>
      <c r="C14"/>
      <c r="D14"/>
      <c r="E14"/>
      <c r="F14">
        <v>151</v>
      </c>
      <c r="G14" t="str">
        <v>Amani Saloum Birthday D.P </v>
      </c>
    </row>
    <row r="15">
      <c r="A15"/>
      <c r="B15" t="str">
        <v>fairco International</v>
      </c>
      <c r="C15"/>
      <c r="D15"/>
      <c r="E15"/>
      <c r="F15">
        <v>102</v>
      </c>
      <c r="G15" t="str">
        <v>Amani Saloum Birthday D.P </v>
      </c>
    </row>
    <row r="16">
      <c r="A16"/>
      <c r="B16" t="str">
        <v>Spinneys Kitchen</v>
      </c>
      <c r="C16"/>
      <c r="D16"/>
      <c r="E16"/>
      <c r="F16">
        <v>77.73</v>
      </c>
      <c r="G16" t="str">
        <v>Stephanie Jalwan Birthday D.P</v>
      </c>
    </row>
    <row r="17">
      <c r="A17"/>
      <c r="B17" t="str">
        <v>Spinneys Hygiene workshop</v>
      </c>
      <c r="C17"/>
      <c r="D17"/>
      <c r="E17"/>
      <c r="F17">
        <v>79.12</v>
      </c>
      <c r="G17" t="str">
        <v>Stephanie Jalwan Birthday D.P</v>
      </c>
    </row>
    <row r="18">
      <c r="A18"/>
      <c r="B18" t="str">
        <v>Le Marchet Selectif </v>
      </c>
      <c r="C18"/>
      <c r="D18"/>
      <c r="E18"/>
      <c r="F18">
        <v>100</v>
      </c>
      <c r="G18" t="str">
        <v>Stephanie Jalwan Birthday D.P</v>
      </c>
    </row>
    <row r="19">
      <c r="A19"/>
      <c r="B19" t="str">
        <v>Nour Malek </v>
      </c>
      <c r="C19"/>
      <c r="D19"/>
      <c r="E19"/>
      <c r="F19">
        <v>26</v>
      </c>
      <c r="G19"/>
    </row>
    <row r="20">
      <c r="A20"/>
      <c r="B20" t="str">
        <v>Le Marchet Selectif </v>
      </c>
      <c r="C20"/>
      <c r="D20"/>
      <c r="E20"/>
      <c r="F20">
        <v>20</v>
      </c>
      <c r="G20"/>
    </row>
    <row r="21">
      <c r="A21"/>
      <c r="B21" t="str">
        <v>Amal Advance On Salary August </v>
      </c>
      <c r="C21"/>
      <c r="D21"/>
      <c r="E21"/>
      <c r="F21">
        <v>100</v>
      </c>
      <c r="G21"/>
    </row>
    <row r="22">
      <c r="A22"/>
      <c r="B22" t="str">
        <v>Eva Maalouly</v>
      </c>
      <c r="C22"/>
      <c r="D22"/>
      <c r="E22"/>
      <c r="F22">
        <v>21</v>
      </c>
      <c r="G22"/>
    </row>
    <row r="23">
      <c r="A23"/>
      <c r="B23" t="str">
        <v>For Amal Burger Kibbe </v>
      </c>
      <c r="C23"/>
      <c r="D23"/>
      <c r="E23"/>
      <c r="F23">
        <v>100</v>
      </c>
      <c r="G23"/>
    </row>
    <row r="24">
      <c r="A24"/>
      <c r="B24"/>
      <c r="C24"/>
      <c r="D24"/>
      <c r="E24"/>
      <c r="F24">
        <v>0</v>
      </c>
      <c r="G24"/>
    </row>
    <row r="25">
      <c r="A25"/>
      <c r="B25"/>
      <c r="C25"/>
      <c r="D25"/>
      <c r="E25"/>
      <c r="F25">
        <v>0</v>
      </c>
      <c r="G25"/>
    </row>
    <row r="26">
      <c r="A26"/>
      <c r="B26"/>
      <c r="C26"/>
      <c r="D26"/>
      <c r="E26"/>
      <c r="F26">
        <v>0</v>
      </c>
      <c r="G26"/>
    </row>
    <row r="27">
      <c r="A27"/>
      <c r="B27"/>
      <c r="C27"/>
      <c r="D27"/>
      <c r="E27"/>
      <c r="F27">
        <v>0</v>
      </c>
      <c r="G27"/>
    </row>
    <row r="28">
      <c r="A28"/>
      <c r="B28" t="str">
        <v>Total</v>
      </c>
      <c r="C28"/>
      <c r="D28"/>
      <c r="E28">
        <f>E3+E4+E5+E6+E7+E8-F10-F11-F12-F13-F19-F20-F21-F22-F23</f>
        <v>589</v>
      </c>
      <c r="F28"/>
      <c r="G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250</v>
      </c>
      <c r="F4"/>
    </row>
    <row r="5">
      <c r="A5"/>
      <c r="B5" t="str">
        <v>Gaelle Semaan Birthday</v>
      </c>
      <c r="C5"/>
      <c r="D5"/>
      <c r="E5">
        <v>620</v>
      </c>
      <c r="F5"/>
    </row>
    <row r="6">
      <c r="A6"/>
      <c r="B6" t="str">
        <v>Amani Saloum</v>
      </c>
      <c r="C6"/>
      <c r="D6"/>
      <c r="E6">
        <v>330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Thaer Invoices </v>
      </c>
      <c r="C10"/>
      <c r="D10"/>
      <c r="E10"/>
      <c r="F10">
        <v>41</v>
      </c>
    </row>
    <row r="11">
      <c r="A11"/>
      <c r="B11" t="str">
        <v>Imaco Garbage</v>
      </c>
      <c r="C11"/>
      <c r="D11"/>
      <c r="E11"/>
      <c r="F11">
        <v>30</v>
      </c>
    </row>
    <row r="12">
      <c r="A12"/>
      <c r="B12" t="str">
        <v>Fresh &amp; More Vegtables &amp; Fruits For 3 Birthdays </v>
      </c>
      <c r="C12"/>
      <c r="D12"/>
      <c r="E12"/>
      <c r="F12">
        <v>17</v>
      </c>
    </row>
    <row r="13">
      <c r="A13"/>
      <c r="B13" t="str">
        <v>Noour Malek </v>
      </c>
      <c r="C13"/>
      <c r="D13"/>
      <c r="E13"/>
      <c r="F13">
        <v>23</v>
      </c>
    </row>
    <row r="14">
      <c r="A14"/>
      <c r="B14" t="str">
        <v>Nour Haybe </v>
      </c>
      <c r="C14"/>
      <c r="D14"/>
      <c r="E14"/>
      <c r="F14">
        <v>36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>
        <f>E3+E4+E5+E6+E7+E8-F10-F11-F12-F13-F19-F20-F21-F22-F14</f>
        <v>1053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 t="str">
        <v>Opening Petit cash </v>
      </c>
      <c r="C3"/>
      <c r="D3"/>
      <c r="E3">
        <v>0</v>
      </c>
      <c r="F3"/>
    </row>
    <row r="4">
      <c r="A4"/>
      <c r="B4" t="str">
        <v>Walk-in Today: Cash In USD</v>
      </c>
      <c r="C4"/>
      <c r="D4"/>
      <c r="E4">
        <v>415</v>
      </c>
      <c r="F4"/>
    </row>
    <row r="5">
      <c r="A5"/>
      <c r="B5" t="str">
        <v>Stephanie Jalwan </v>
      </c>
      <c r="C5"/>
      <c r="D5"/>
      <c r="E5">
        <v>860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/>
      <c r="F9"/>
    </row>
    <row r="10">
      <c r="A10"/>
      <c r="B10" t="str">
        <v>Eva Maalouly </v>
      </c>
      <c r="C10"/>
      <c r="D10"/>
      <c r="E10"/>
      <c r="F10">
        <v>22</v>
      </c>
    </row>
    <row r="11">
      <c r="A11"/>
      <c r="B11" t="str">
        <v>Storium </v>
      </c>
      <c r="C11"/>
      <c r="D11"/>
      <c r="E11"/>
      <c r="F11">
        <v>38</v>
      </c>
    </row>
    <row r="12">
      <c r="A12"/>
      <c r="B12" t="str">
        <v>Citern Water </v>
      </c>
      <c r="C12"/>
      <c r="D12"/>
      <c r="E12"/>
      <c r="F12">
        <v>85</v>
      </c>
    </row>
    <row r="13">
      <c r="A13"/>
      <c r="B13" t="str">
        <v>Boucherie Ziad Burgers Kebbe (For # Birthdays)</v>
      </c>
      <c r="C13"/>
      <c r="D13"/>
      <c r="E13"/>
      <c r="F13">
        <v>58</v>
      </c>
    </row>
    <row r="14">
      <c r="A14"/>
      <c r="B14" t="str">
        <v>Nour Haybe </v>
      </c>
      <c r="C14"/>
      <c r="D14"/>
      <c r="E14"/>
      <c r="F14">
        <v>26</v>
      </c>
    </row>
    <row r="15">
      <c r="A15"/>
      <c r="B15" t="str">
        <v>Fresh &amp; More </v>
      </c>
      <c r="C15"/>
      <c r="D15"/>
      <c r="E15"/>
      <c r="F15">
        <v>17</v>
      </c>
    </row>
    <row r="16">
      <c r="A16"/>
      <c r="B16" t="str">
        <v>Miro Salary </v>
      </c>
      <c r="C16"/>
      <c r="D16"/>
      <c r="E16"/>
      <c r="F16">
        <v>600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 t="str">
        <v>Total</v>
      </c>
      <c r="C28"/>
      <c r="D28"/>
      <c r="E28" s="0">
        <f>E3+E4+E5+E6+E7+E8-F10-F11-F12-F13-F19-F20-F21-F22-F14-F15</f>
        <v>1029</v>
      </c>
      <c r="F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  <c r="H1"/>
      <c r="I1"/>
    </row>
    <row r="2">
      <c r="A2"/>
      <c r="B2"/>
      <c r="C2"/>
      <c r="D2"/>
      <c r="E2"/>
      <c r="F2"/>
      <c r="G2"/>
      <c r="H2"/>
      <c r="I2"/>
    </row>
    <row r="3">
      <c r="A3"/>
      <c r="B3" t="str">
        <v>Opening Petit cash </v>
      </c>
      <c r="C3"/>
      <c r="D3"/>
      <c r="E3">
        <v>70</v>
      </c>
      <c r="F3"/>
      <c r="G3"/>
      <c r="H3"/>
      <c r="I3"/>
    </row>
    <row r="4">
      <c r="A4"/>
      <c r="B4" t="str">
        <v>Walk-in Today: Cash In USD</v>
      </c>
      <c r="C4"/>
      <c r="D4"/>
      <c r="E4">
        <v>820</v>
      </c>
      <c r="F4"/>
      <c r="G4"/>
      <c r="H4"/>
      <c r="I4"/>
    </row>
    <row r="5">
      <c r="A5"/>
      <c r="B5" t="str">
        <v>Janette Alam D.P Birthday 26-8</v>
      </c>
      <c r="C5"/>
      <c r="D5"/>
      <c r="E5">
        <v>200</v>
      </c>
      <c r="F5"/>
      <c r="G5"/>
      <c r="H5"/>
      <c r="I5"/>
    </row>
    <row r="6">
      <c r="A6"/>
      <c r="B6" t="str">
        <v>Joanna Abdo D.P Birthday 19-9</v>
      </c>
      <c r="C6"/>
      <c r="D6"/>
      <c r="E6">
        <v>200</v>
      </c>
      <c r="F6"/>
      <c r="G6"/>
      <c r="H6"/>
      <c r="I6"/>
    </row>
    <row r="7">
      <c r="A7"/>
      <c r="B7"/>
      <c r="C7"/>
      <c r="D7"/>
      <c r="E7">
        <v>0</v>
      </c>
      <c r="F7"/>
      <c r="G7"/>
      <c r="H7"/>
      <c r="I7"/>
    </row>
    <row r="8">
      <c r="A8"/>
      <c r="B8"/>
      <c r="C8"/>
      <c r="D8"/>
      <c r="E8">
        <v>0</v>
      </c>
      <c r="F8"/>
      <c r="G8" t="str">
        <v/>
      </c>
      <c r="H8"/>
      <c r="I8"/>
    </row>
    <row r="9">
      <c r="A9"/>
      <c r="B9"/>
      <c r="C9"/>
      <c r="D9"/>
      <c r="E9"/>
      <c r="F9"/>
      <c r="G9"/>
      <c r="H9"/>
      <c r="I9"/>
    </row>
    <row r="10">
      <c r="A10"/>
      <c r="B10" t="str">
        <v>Le Marchet Selectif </v>
      </c>
      <c r="C10"/>
      <c r="D10"/>
      <c r="E10"/>
      <c r="F10">
        <v>102</v>
      </c>
      <c r="G10"/>
      <c r="H10"/>
      <c r="I10"/>
    </row>
    <row r="11">
      <c r="A11"/>
      <c r="B11" t="str">
        <v>La Valeur Kitchen</v>
      </c>
      <c r="C11"/>
      <c r="D11"/>
      <c r="E11"/>
      <c r="F11">
        <v>163</v>
      </c>
      <c r="G11"/>
      <c r="H11"/>
      <c r="I11"/>
    </row>
    <row r="12">
      <c r="A12"/>
      <c r="B12" t="str">
        <v>LA valeur Fruits </v>
      </c>
      <c r="C12"/>
      <c r="D12"/>
      <c r="E12"/>
      <c r="F12">
        <v>35</v>
      </c>
      <c r="G12"/>
      <c r="H12"/>
      <c r="I12"/>
    </row>
    <row r="13">
      <c r="A13"/>
      <c r="B13" t="str">
        <v>Eva Maalouly</v>
      </c>
      <c r="C13"/>
      <c r="D13"/>
      <c r="E13"/>
      <c r="F13">
        <v>18</v>
      </c>
      <c r="G13"/>
      <c r="H13"/>
      <c r="I13"/>
    </row>
    <row r="14">
      <c r="A14"/>
      <c r="B14" t="str">
        <v>Cynthia </v>
      </c>
      <c r="C14"/>
      <c r="D14"/>
      <c r="E14"/>
      <c r="F14">
        <v>20</v>
      </c>
      <c r="G14"/>
      <c r="H14"/>
      <c r="I14"/>
    </row>
    <row r="15">
      <c r="A15"/>
      <c r="B15" t="str">
        <v>Rim Water </v>
      </c>
      <c r="C15"/>
      <c r="D15"/>
      <c r="E15"/>
      <c r="F15">
        <v>127</v>
      </c>
      <c r="G15"/>
      <c r="H15"/>
      <c r="I15">
        <v>163.21</v>
      </c>
    </row>
    <row r="16">
      <c r="A16"/>
      <c r="B16" t="str">
        <v>Nchara For Farm</v>
      </c>
      <c r="C16"/>
      <c r="D16"/>
      <c r="E16"/>
      <c r="F16">
        <v>12</v>
      </c>
      <c r="G16"/>
      <c r="H16"/>
      <c r="I16"/>
    </row>
    <row r="17">
      <c r="A17"/>
      <c r="B17" t="str">
        <v>Charbel Ghostin</v>
      </c>
      <c r="C17"/>
      <c r="D17"/>
      <c r="E17"/>
      <c r="F17">
        <v>150</v>
      </c>
      <c r="G17"/>
      <c r="H17"/>
      <c r="I17"/>
    </row>
    <row r="18">
      <c r="A18"/>
      <c r="B18" t="str">
        <v>Marleine Advance On salary August</v>
      </c>
      <c r="C18"/>
      <c r="D18"/>
      <c r="E18"/>
      <c r="F18">
        <v>150</v>
      </c>
      <c r="G18"/>
      <c r="H18"/>
      <c r="I18"/>
    </row>
    <row r="19">
      <c r="A19"/>
      <c r="B19"/>
      <c r="C19"/>
      <c r="D19"/>
      <c r="E19"/>
      <c r="F19">
        <v>0</v>
      </c>
      <c r="G19"/>
      <c r="H19"/>
      <c r="I19"/>
    </row>
    <row r="20">
      <c r="A20"/>
      <c r="B20"/>
      <c r="C20"/>
      <c r="D20"/>
      <c r="E20"/>
      <c r="F20">
        <v>0</v>
      </c>
      <c r="G20"/>
      <c r="H20"/>
      <c r="I20"/>
    </row>
    <row r="21">
      <c r="A21"/>
      <c r="B21"/>
      <c r="C21"/>
      <c r="D21"/>
      <c r="E21"/>
      <c r="F21">
        <v>0</v>
      </c>
      <c r="G21"/>
      <c r="H21"/>
      <c r="I21"/>
    </row>
    <row r="22">
      <c r="A22"/>
      <c r="B22"/>
      <c r="C22"/>
      <c r="D22"/>
      <c r="E22"/>
      <c r="F22">
        <v>0</v>
      </c>
      <c r="G22"/>
      <c r="H22" t="str">
        <v/>
      </c>
      <c r="I22"/>
    </row>
    <row r="23">
      <c r="A23"/>
      <c r="B23"/>
      <c r="C23"/>
      <c r="D23"/>
      <c r="E23"/>
      <c r="F23">
        <v>0</v>
      </c>
      <c r="G23"/>
      <c r="H23"/>
      <c r="I23"/>
    </row>
    <row r="24">
      <c r="A24"/>
      <c r="B24"/>
      <c r="C24"/>
      <c r="D24"/>
      <c r="E24"/>
      <c r="F24">
        <v>0</v>
      </c>
      <c r="G24"/>
      <c r="H24"/>
      <c r="I24"/>
    </row>
    <row r="25">
      <c r="A25"/>
      <c r="B25"/>
      <c r="C25"/>
      <c r="D25"/>
      <c r="E25"/>
      <c r="F25">
        <v>0</v>
      </c>
      <c r="G25"/>
      <c r="H25"/>
      <c r="I25"/>
    </row>
    <row r="26">
      <c r="A26"/>
      <c r="B26"/>
      <c r="C26"/>
      <c r="D26"/>
      <c r="E26"/>
      <c r="F26">
        <v>0</v>
      </c>
      <c r="G26"/>
      <c r="H26"/>
      <c r="I26"/>
    </row>
    <row r="27">
      <c r="A27"/>
      <c r="B27"/>
      <c r="C27"/>
      <c r="D27"/>
      <c r="E27"/>
      <c r="F27">
        <v>0</v>
      </c>
      <c r="G27"/>
      <c r="H27"/>
      <c r="I27"/>
    </row>
    <row r="28">
      <c r="A28"/>
      <c r="B28" t="str">
        <v>Total</v>
      </c>
      <c r="C28"/>
      <c r="D28"/>
      <c r="E28">
        <f>E4+E3-F10-F11-F12-F13-F14-F15-F16-F17-F18</f>
        <v>113</v>
      </c>
      <c r="F28"/>
      <c r="G28"/>
      <c r="H28"/>
      <c r="I28"/>
    </row>
  </sheetData>
  <mergeCells count="26">
    <mergeCell ref="B2:C2"/>
    <mergeCell ref="B3:C3"/>
    <mergeCell ref="B4:D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113</v>
      </c>
      <c r="F4"/>
    </row>
    <row r="5">
      <c r="A5"/>
      <c r="B5" t="str">
        <v>Walk-in Today: Cash In USD</v>
      </c>
      <c r="C5"/>
      <c r="D5"/>
      <c r="E5">
        <v>368</v>
      </c>
      <c r="F5"/>
    </row>
    <row r="6">
      <c r="A6"/>
      <c r="B6" t="str">
        <v>Gaelle Abi Mansour D.P Birthday 13-9</v>
      </c>
      <c r="C6"/>
      <c r="D6"/>
      <c r="E6">
        <v>300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 t="str">
        <v>Boucherie Ziad </v>
      </c>
      <c r="C11"/>
      <c r="D11"/>
      <c r="E11"/>
      <c r="F11">
        <v>19</v>
      </c>
    </row>
    <row r="12">
      <c r="A12"/>
      <c r="B12" t="str">
        <v>Nour Haybe </v>
      </c>
      <c r="C12"/>
      <c r="D12"/>
      <c r="E12"/>
      <c r="F12">
        <v>24</v>
      </c>
    </row>
    <row r="13">
      <c r="A13"/>
      <c r="B13" t="str">
        <v>Eva Maalouly </v>
      </c>
      <c r="C13"/>
      <c r="D13"/>
      <c r="E13"/>
      <c r="F13">
        <v>18</v>
      </c>
    </row>
    <row r="14">
      <c r="A14"/>
      <c r="B14" t="str">
        <v>Librarie Mallah (Flafy Clay, Peinture)</v>
      </c>
      <c r="C14"/>
      <c r="D14"/>
      <c r="E14"/>
      <c r="F14">
        <v>100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/>
      <c r="C28"/>
      <c r="D28"/>
      <c r="E28"/>
      <c r="F28">
        <v>0</v>
      </c>
    </row>
    <row r="29">
      <c r="A29"/>
      <c r="B29" t="str">
        <v>Total</v>
      </c>
      <c r="C29"/>
      <c r="D29"/>
      <c r="E29">
        <f>E5+E4-F11-F12-F13-F14-F15-F16-F17-F18-F19</f>
        <v>320</v>
      </c>
      <c r="F29"/>
    </row>
  </sheetData>
  <mergeCells count="26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190</v>
      </c>
      <c r="F4"/>
    </row>
    <row r="5">
      <c r="A5"/>
      <c r="B5" t="str">
        <v>Walk-in Today: Cash In USD</v>
      </c>
      <c r="C5"/>
      <c r="D5"/>
      <c r="E5">
        <v>112</v>
      </c>
      <c r="F5"/>
    </row>
    <row r="6">
      <c r="A6"/>
      <c r="B6" t="str">
        <v>Fares Tahan Birthday </v>
      </c>
      <c r="C6"/>
      <c r="D6"/>
      <c r="E6">
        <v>723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 t="str">
        <v>Le Marchet Selectif ( Fa7em Ice water ,,,,)For Birthday </v>
      </c>
      <c r="C11"/>
      <c r="D11"/>
      <c r="E11"/>
      <c r="F11">
        <v>100</v>
      </c>
    </row>
    <row r="12">
      <c r="A12"/>
      <c r="B12" t="str">
        <v>Citern Water Littke Hands</v>
      </c>
      <c r="C12"/>
      <c r="D12"/>
      <c r="E12"/>
      <c r="F12">
        <v>80</v>
      </c>
    </row>
    <row r="13">
      <c r="A13"/>
      <c r="B13" t="str">
        <v>Fruits &amp; Vegetables For Birthday 15-8</v>
      </c>
      <c r="C13"/>
      <c r="D13"/>
      <c r="E13"/>
      <c r="F13">
        <v>12</v>
      </c>
    </row>
    <row r="14">
      <c r="A14"/>
      <c r="B14" t="str">
        <v>Moteur </v>
      </c>
      <c r="C14"/>
      <c r="D14"/>
      <c r="E14"/>
      <c r="F14">
        <v>310</v>
      </c>
    </row>
    <row r="15">
      <c r="A15"/>
      <c r="B15" t="str">
        <v>Storium Food Birthday Today</v>
      </c>
      <c r="C15"/>
      <c r="D15"/>
      <c r="E15"/>
      <c r="F15">
        <v>55</v>
      </c>
    </row>
    <row r="16">
      <c r="A16"/>
      <c r="B16" t="str">
        <v>Spinneys Food Birtjday Today </v>
      </c>
      <c r="C16"/>
      <c r="D16"/>
      <c r="E16"/>
      <c r="F16">
        <v>115</v>
      </c>
    </row>
    <row r="17">
      <c r="A17"/>
      <c r="B17" t="str">
        <v>Nour Haybe </v>
      </c>
      <c r="C17"/>
      <c r="D17"/>
      <c r="E17"/>
      <c r="F17">
        <v>28</v>
      </c>
    </row>
    <row r="18">
      <c r="A18"/>
      <c r="B18" t="str">
        <v>Eva Maalouly</v>
      </c>
      <c r="C18"/>
      <c r="D18"/>
      <c r="E18"/>
      <c r="F18">
        <v>25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/>
      <c r="C21"/>
      <c r="D21"/>
      <c r="E21"/>
      <c r="F21">
        <v>0</v>
      </c>
    </row>
    <row r="22">
      <c r="A22"/>
      <c r="B22"/>
      <c r="C22"/>
      <c r="D22"/>
      <c r="E22"/>
      <c r="F22">
        <v>0</v>
      </c>
    </row>
    <row r="23">
      <c r="A23"/>
      <c r="B23"/>
      <c r="C23"/>
      <c r="D23"/>
      <c r="E23"/>
      <c r="F23">
        <v>0</v>
      </c>
    </row>
    <row r="24">
      <c r="A24"/>
      <c r="B24"/>
      <c r="C24"/>
      <c r="D24"/>
      <c r="E24"/>
      <c r="F24">
        <v>0</v>
      </c>
    </row>
    <row r="25">
      <c r="A25"/>
      <c r="B25"/>
      <c r="C25"/>
      <c r="D25"/>
      <c r="E25"/>
      <c r="F25">
        <v>0</v>
      </c>
    </row>
    <row r="26">
      <c r="A26"/>
      <c r="B26"/>
      <c r="C26"/>
      <c r="D26"/>
      <c r="E26"/>
      <c r="F26">
        <v>0</v>
      </c>
    </row>
    <row r="27">
      <c r="A27"/>
      <c r="B27"/>
      <c r="C27"/>
      <c r="D27"/>
      <c r="E27"/>
      <c r="F27">
        <v>0</v>
      </c>
    </row>
    <row r="28">
      <c r="A28"/>
      <c r="B28"/>
      <c r="C28"/>
      <c r="D28"/>
      <c r="E28"/>
      <c r="F28">
        <v>0</v>
      </c>
    </row>
    <row r="29">
      <c r="A29"/>
      <c r="B29" t="str">
        <v>Remaining Cash </v>
      </c>
      <c r="C29"/>
      <c r="D29"/>
      <c r="E29" s="0">
        <f>E5+E4-F11-F12-F13-F14-F15-F16-F17-F18-F19+E6</f>
        <v>300</v>
      </c>
      <c r="F29"/>
    </row>
  </sheetData>
  <mergeCells count="26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</row>
    <row r="2">
      <c r="A2"/>
      <c r="B2"/>
      <c r="C2"/>
      <c r="D2"/>
      <c r="E2"/>
    </row>
    <row r="3">
      <c r="A3"/>
      <c r="B3"/>
      <c r="C3"/>
      <c r="D3"/>
      <c r="E3"/>
    </row>
    <row r="4">
      <c r="A4"/>
      <c r="B4" t="str">
        <v>Opening Petit cash </v>
      </c>
      <c r="C4"/>
      <c r="D4"/>
      <c r="E4">
        <v>0</v>
      </c>
    </row>
    <row r="5">
      <c r="A5"/>
      <c r="B5" t="str">
        <v>Walk-in Today: Cash In USD</v>
      </c>
      <c r="C5"/>
      <c r="D5"/>
      <c r="E5">
        <v>154.25</v>
      </c>
    </row>
    <row r="6">
      <c r="A6"/>
      <c r="B6"/>
      <c r="C6"/>
      <c r="D6"/>
      <c r="E6">
        <v>0</v>
      </c>
    </row>
    <row r="7">
      <c r="A7"/>
      <c r="B7"/>
      <c r="C7"/>
      <c r="D7"/>
      <c r="E7">
        <v>0</v>
      </c>
    </row>
    <row r="8">
      <c r="A8"/>
      <c r="B8"/>
      <c r="C8"/>
      <c r="D8"/>
      <c r="E8">
        <v>0</v>
      </c>
    </row>
    <row r="9">
      <c r="A9"/>
      <c r="B9"/>
      <c r="C9"/>
      <c r="D9"/>
      <c r="E9">
        <v>0</v>
      </c>
    </row>
    <row r="10">
      <c r="A10"/>
      <c r="B10"/>
      <c r="C10"/>
      <c r="D10"/>
      <c r="E10"/>
    </row>
    <row r="11">
      <c r="A11"/>
      <c r="B11" t="str">
        <v>Remaining Cash For 16-8-2026 in Caisse</v>
      </c>
      <c r="C11"/>
      <c r="D11"/>
      <c r="E11">
        <f>E5</f>
        <v>154.25</v>
      </c>
    </row>
  </sheetData>
  <mergeCells count="9">
    <mergeCell ref="B3:C3"/>
    <mergeCell ref="B4:C4"/>
    <mergeCell ref="B5:D5"/>
    <mergeCell ref="B6:D6"/>
    <mergeCell ref="B7:D7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154</v>
      </c>
      <c r="F4"/>
    </row>
    <row r="5">
      <c r="A5"/>
      <c r="B5" t="str">
        <v>Walk-in Today: Cash In USD</v>
      </c>
      <c r="C5"/>
      <c r="D5"/>
      <c r="E5">
        <v>0</v>
      </c>
      <c r="F5"/>
    </row>
    <row r="6">
      <c r="A6"/>
      <c r="B6" t="str">
        <v>Colinie Classes Orange </v>
      </c>
      <c r="C6"/>
      <c r="D6"/>
      <c r="E6">
        <v>360</v>
      </c>
      <c r="F6"/>
    </row>
    <row r="7">
      <c r="A7"/>
      <c r="B7" t="str">
        <v>Krystelle D.P Birthday 18-8-2026</v>
      </c>
      <c r="C7"/>
      <c r="D7"/>
      <c r="E7">
        <v>200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 t="str">
        <v>Le Marchet Selectif ( kitchen &amp; Orange )</v>
      </c>
      <c r="C11"/>
      <c r="D11"/>
      <c r="E11"/>
      <c r="F11">
        <v>100</v>
      </c>
    </row>
    <row r="12">
      <c r="A12"/>
      <c r="B12" t="str">
        <v>Thaer Benzin </v>
      </c>
      <c r="C12"/>
      <c r="D12"/>
      <c r="E12"/>
      <c r="F12">
        <v>40</v>
      </c>
    </row>
    <row r="13">
      <c r="A13"/>
      <c r="B13" t="str">
        <v>Manakich (Old Invoice )</v>
      </c>
      <c r="C13"/>
      <c r="D13"/>
      <c r="E13"/>
      <c r="F13">
        <v>47</v>
      </c>
    </row>
    <row r="14">
      <c r="A14"/>
      <c r="B14"/>
      <c r="C14"/>
      <c r="D14"/>
      <c r="E14"/>
      <c r="F14">
        <v>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 t="str">
        <v>Remaining Cash </v>
      </c>
      <c r="C18"/>
      <c r="D18"/>
      <c r="E18">
        <f>E4+E6-F11-F12-F13</f>
        <v>327</v>
      </c>
      <c r="F18"/>
    </row>
  </sheetData>
  <mergeCells count="15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/>
      <c r="C3"/>
      <c r="D3"/>
      <c r="E3"/>
      <c r="F3"/>
      <c r="G3"/>
    </row>
    <row r="4">
      <c r="A4"/>
      <c r="B4" t="str">
        <v>Opening Petit cash </v>
      </c>
      <c r="C4"/>
      <c r="D4"/>
      <c r="E4">
        <v>127</v>
      </c>
      <c r="F4"/>
      <c r="G4"/>
    </row>
    <row r="5">
      <c r="A5"/>
      <c r="B5" t="str">
        <v>Walk-in Today: Cash In USD</v>
      </c>
      <c r="C5"/>
      <c r="D5"/>
      <c r="E5">
        <v>0</v>
      </c>
      <c r="F5"/>
      <c r="G5"/>
    </row>
    <row r="6">
      <c r="A6"/>
      <c r="B6" t="str">
        <v>Biirthday Krystelle </v>
      </c>
      <c r="C6"/>
      <c r="D6"/>
      <c r="E6">
        <v>717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>
        <v>0</v>
      </c>
      <c r="F9"/>
      <c r="G9" t="str">
        <v/>
      </c>
    </row>
    <row r="10">
      <c r="A10"/>
      <c r="B10"/>
      <c r="C10"/>
      <c r="D10"/>
      <c r="E10"/>
      <c r="F10"/>
      <c r="G10"/>
    </row>
    <row r="11">
      <c r="A11"/>
      <c r="B11" t="str">
        <v>Karam Bake Birthday 18-8</v>
      </c>
      <c r="C11"/>
      <c r="D11"/>
      <c r="E11"/>
      <c r="F11">
        <v>57</v>
      </c>
      <c r="G11" t="str">
        <v>From D. P Birthday Krystelle</v>
      </c>
    </row>
    <row r="12">
      <c r="A12"/>
      <c r="B12" t="str">
        <v>Boucherie Ziad ( Kebbe &amp; Burgers)</v>
      </c>
      <c r="C12"/>
      <c r="D12"/>
      <c r="E12"/>
      <c r="F12">
        <v>143</v>
      </c>
      <c r="G12" t="str">
        <v>From D. P Birthday Krystelle</v>
      </c>
    </row>
    <row r="13">
      <c r="A13"/>
      <c r="B13" t="str">
        <v>Nour Haybe</v>
      </c>
      <c r="C13"/>
      <c r="D13"/>
      <c r="E13"/>
      <c r="F13">
        <v>24</v>
      </c>
      <c r="G13"/>
    </row>
    <row r="14">
      <c r="A14"/>
      <c r="B14" t="str">
        <v>Spinneys Bar Workshop</v>
      </c>
      <c r="C14"/>
      <c r="D14"/>
      <c r="E14"/>
      <c r="F14">
        <v>38</v>
      </c>
      <c r="G14"/>
    </row>
    <row r="15">
      <c r="A15"/>
      <c r="B15" t="str">
        <v>Spinneys Kitchen Workshop Hygiene</v>
      </c>
      <c r="C15"/>
      <c r="D15"/>
      <c r="E15"/>
      <c r="F15">
        <v>69.21</v>
      </c>
      <c r="G15"/>
    </row>
    <row r="16">
      <c r="A16"/>
      <c r="B16" t="str">
        <v>Spinneys Kitchen Workshop</v>
      </c>
      <c r="C16"/>
      <c r="D16"/>
      <c r="E16"/>
      <c r="F16">
        <v>56</v>
      </c>
      <c r="G16"/>
    </row>
    <row r="17">
      <c r="A17"/>
      <c r="B17"/>
      <c r="C17"/>
      <c r="D17"/>
      <c r="E17"/>
      <c r="F17">
        <v>0</v>
      </c>
      <c r="G17"/>
    </row>
    <row r="18">
      <c r="A18"/>
      <c r="B18"/>
      <c r="C18"/>
      <c r="D18"/>
      <c r="E18"/>
      <c r="F18">
        <v>0</v>
      </c>
      <c r="G18"/>
    </row>
    <row r="19">
      <c r="A19"/>
      <c r="B19"/>
      <c r="C19"/>
      <c r="D19"/>
      <c r="E19"/>
      <c r="F19">
        <v>0</v>
      </c>
      <c r="G19"/>
    </row>
    <row r="20">
      <c r="A20"/>
      <c r="B20"/>
      <c r="C20"/>
      <c r="D20"/>
      <c r="E20"/>
      <c r="F20">
        <v>0</v>
      </c>
      <c r="G20"/>
    </row>
    <row r="21">
      <c r="A21"/>
      <c r="B21" t="str">
        <v>Remaining Cash </v>
      </c>
      <c r="C21"/>
      <c r="D21"/>
      <c r="E21" s="0">
        <f>E4+E6-F13-F14-F15-F16</f>
        <v>656.79</v>
      </c>
      <c r="F21"/>
      <c r="G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50</v>
      </c>
      <c r="F4"/>
    </row>
    <row r="5">
      <c r="A5"/>
      <c r="B5" t="str">
        <v>Walk-in Today: Cash In USD</v>
      </c>
      <c r="C5"/>
      <c r="D5"/>
      <c r="E5">
        <v>538</v>
      </c>
      <c r="F5"/>
    </row>
    <row r="6">
      <c r="A6"/>
      <c r="B6" t="str">
        <v>Sarine demak D.P Birthday</v>
      </c>
      <c r="C6"/>
      <c r="D6"/>
      <c r="E6">
        <v>300</v>
      </c>
      <c r="F6"/>
    </row>
    <row r="7">
      <c r="A7"/>
      <c r="B7" t="str">
        <v>Cynthia kreidy D.P Birthday</v>
      </c>
      <c r="C7"/>
      <c r="D7"/>
      <c r="E7">
        <v>300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 t="str">
        <v>Le Marchet Selectif (Old Invoices)</v>
      </c>
      <c r="C11"/>
      <c r="D11"/>
      <c r="E11"/>
      <c r="F11">
        <v>105</v>
      </c>
    </row>
    <row r="12">
      <c r="A12"/>
      <c r="B12" t="str">
        <v>Thaer Benzin</v>
      </c>
      <c r="C12"/>
      <c r="D12"/>
      <c r="E12"/>
      <c r="F12">
        <v>40</v>
      </c>
    </row>
    <row r="13">
      <c r="A13"/>
      <c r="B13" t="str">
        <v>Manakich</v>
      </c>
      <c r="C13"/>
      <c r="D13"/>
      <c r="E13"/>
      <c r="F13">
        <v>7</v>
      </c>
    </row>
    <row r="14">
      <c r="A14"/>
      <c r="B14" t="str">
        <v>Saab Doctors vet ( Dawa, Makanet 7le2a)</v>
      </c>
      <c r="C14"/>
      <c r="D14"/>
      <c r="E14"/>
      <c r="F14">
        <v>100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 t="str">
        <v>Remaining Cash </v>
      </c>
      <c r="C21"/>
      <c r="D21"/>
      <c r="E21" s="0">
        <f>E5-F11-F12-F13-F14-F15-F16-F17-F18-F19-F20+E4+E6+E7</f>
        <v>936</v>
      </c>
      <c r="F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130</v>
      </c>
      <c r="F4"/>
    </row>
    <row r="5">
      <c r="A5"/>
      <c r="B5" t="str">
        <v>Walk-in Today: Cash In USD</v>
      </c>
      <c r="C5"/>
      <c r="D5"/>
      <c r="E5">
        <v>294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 t="str">
        <v>Water Citern Little Hands </v>
      </c>
      <c r="C11"/>
      <c r="D11"/>
      <c r="E11"/>
      <c r="F11">
        <v>80</v>
      </c>
    </row>
    <row r="12">
      <c r="A12"/>
      <c r="B12" t="str">
        <v>Boucherie Ziad Kebbe Burgers </v>
      </c>
      <c r="C12"/>
      <c r="D12"/>
      <c r="E12"/>
      <c r="F12">
        <v>17</v>
      </c>
    </row>
    <row r="13">
      <c r="A13"/>
      <c r="B13" t="str">
        <v>Emdedet Water </v>
      </c>
      <c r="C13"/>
      <c r="D13"/>
      <c r="E13"/>
      <c r="F13">
        <v>200</v>
      </c>
    </row>
    <row r="14">
      <c r="A14"/>
      <c r="B14" t="str">
        <v>Eva </v>
      </c>
      <c r="C14"/>
      <c r="D14"/>
      <c r="E14"/>
      <c r="F14">
        <v>21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 t="str">
        <v>Remaining Cash </v>
      </c>
      <c r="C21"/>
      <c r="D21"/>
      <c r="E21" s="0">
        <f>E5-F11-F12-F13-F14-F15-F16-F17-F18-F19-F20+E4+E6+E7</f>
        <v>106</v>
      </c>
      <c r="F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106</v>
      </c>
      <c r="F4"/>
    </row>
    <row r="5">
      <c r="A5"/>
      <c r="B5" t="str">
        <v>Walk-in Today: Cash In USD</v>
      </c>
      <c r="C5"/>
      <c r="D5"/>
      <c r="E5">
        <v>135</v>
      </c>
      <c r="F5"/>
    </row>
    <row r="6">
      <c r="A6"/>
      <c r="B6" t="str">
        <v>Exchange From Thaer</v>
      </c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 t="str">
        <v>Joe Market Burger Bread </v>
      </c>
      <c r="C11"/>
      <c r="D11"/>
      <c r="E11"/>
      <c r="F11">
        <v>10</v>
      </c>
    </row>
    <row r="12">
      <c r="A12"/>
      <c r="B12" t="str">
        <v>Benzin &amp; Oil Thaer</v>
      </c>
      <c r="C12"/>
      <c r="D12"/>
      <c r="E12"/>
      <c r="F12">
        <v>47</v>
      </c>
    </row>
    <row r="13">
      <c r="A13"/>
      <c r="B13" t="str">
        <v>Cynthia Working H </v>
      </c>
      <c r="C13"/>
      <c r="D13"/>
      <c r="E13"/>
      <c r="F13">
        <v>32</v>
      </c>
    </row>
    <row r="14">
      <c r="A14"/>
      <c r="B14" t="str">
        <v>Stickers Little Hands </v>
      </c>
      <c r="C14"/>
      <c r="D14"/>
      <c r="E14"/>
      <c r="F14">
        <v>12</v>
      </c>
    </row>
    <row r="15">
      <c r="A15"/>
      <c r="B15" t="str">
        <v>Saleh Plumber ( Mad Khat May )</v>
      </c>
      <c r="C15"/>
      <c r="D15"/>
      <c r="E15"/>
      <c r="F15">
        <v>100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 t="str">
        <v>Remaining Cash </v>
      </c>
      <c r="C21"/>
      <c r="D21"/>
      <c r="E21" s="0">
        <f>E5-F11-F12-F13-F14-F15-F16-F17-F18-F19-F20+E4+E6+E7</f>
        <v>40</v>
      </c>
      <c r="F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40</v>
      </c>
      <c r="F4"/>
    </row>
    <row r="5">
      <c r="A5"/>
      <c r="B5" t="str">
        <v>Walk-in Today: Cash In USD</v>
      </c>
      <c r="C5"/>
      <c r="D5"/>
      <c r="E5">
        <v>199</v>
      </c>
      <c r="F5"/>
    </row>
    <row r="6">
      <c r="A6"/>
      <c r="B6" t="str">
        <v>Exchange From Thaer</v>
      </c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 t="str">
        <v>Adwat ( Ice Cube )</v>
      </c>
      <c r="C11"/>
      <c r="D11"/>
      <c r="E11"/>
      <c r="F11">
        <v>30</v>
      </c>
    </row>
    <row r="12">
      <c r="A12"/>
      <c r="B12" t="str">
        <v>Storium ( Workshop, Kitchen, Bar )</v>
      </c>
      <c r="C12"/>
      <c r="D12"/>
      <c r="E12"/>
      <c r="F12">
        <v>21.91</v>
      </c>
    </row>
    <row r="13">
      <c r="A13"/>
      <c r="B13" t="str">
        <v>Alaaf For Farm </v>
      </c>
      <c r="C13"/>
      <c r="D13"/>
      <c r="E13"/>
      <c r="F13">
        <v>98</v>
      </c>
    </row>
    <row r="14">
      <c r="A14"/>
      <c r="B14" t="str">
        <v>Youssef dawa Animal </v>
      </c>
      <c r="C14"/>
      <c r="D14"/>
      <c r="E14"/>
      <c r="F14">
        <v>77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 t="str">
        <v>Remaining Cash </v>
      </c>
      <c r="C21"/>
      <c r="D21"/>
      <c r="E21" s="0">
        <f>E5-F11-F12-F13-F14-F15-F16-F17-F18-F19-F20+E4+E6+E7</f>
        <v>12.09</v>
      </c>
      <c r="F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/>
      <c r="C3"/>
      <c r="D3"/>
      <c r="E3"/>
      <c r="F3"/>
      <c r="G3"/>
    </row>
    <row r="4">
      <c r="A4"/>
      <c r="B4" t="str">
        <v>Opening Petit cash </v>
      </c>
      <c r="C4"/>
      <c r="D4"/>
      <c r="E4">
        <v>0</v>
      </c>
      <c r="F4"/>
      <c r="G4"/>
    </row>
    <row r="5">
      <c r="A5"/>
      <c r="B5" t="str">
        <v>Walk-in Today: Cash In USD</v>
      </c>
      <c r="C5"/>
      <c r="D5"/>
      <c r="E5">
        <v>145</v>
      </c>
      <c r="F5"/>
      <c r="G5"/>
    </row>
    <row r="6">
      <c r="A6"/>
      <c r="B6" t="str">
        <v>Summe r Camp Mar Chaaya</v>
      </c>
      <c r="C6"/>
      <c r="D6"/>
      <c r="E6">
        <v>240</v>
      </c>
      <c r="F6"/>
      <c r="G6"/>
    </row>
    <row r="7">
      <c r="A7"/>
      <c r="B7" t="str">
        <v>Janette Alam </v>
      </c>
      <c r="C7"/>
      <c r="D7"/>
      <c r="E7">
        <v>510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>
        <v>0</v>
      </c>
      <c r="F9"/>
      <c r="G9" t="str">
        <v/>
      </c>
    </row>
    <row r="10">
      <c r="A10"/>
      <c r="B10"/>
      <c r="C10"/>
      <c r="D10"/>
      <c r="E10"/>
      <c r="F10"/>
      <c r="G10"/>
    </row>
    <row r="11">
      <c r="A11"/>
      <c r="B11" t="str">
        <v>Rim water </v>
      </c>
      <c r="C11"/>
      <c r="D11"/>
      <c r="E11"/>
      <c r="F11">
        <v>10</v>
      </c>
      <c r="G11"/>
    </row>
    <row r="12">
      <c r="A12"/>
      <c r="B12" t="str">
        <v>Fruits For Birthday </v>
      </c>
      <c r="C12"/>
      <c r="D12"/>
      <c r="E12"/>
      <c r="F12">
        <v>21</v>
      </c>
      <c r="G12" t="str">
        <v>Janet Alam Birthday D.P </v>
      </c>
    </row>
    <row r="13">
      <c r="A13"/>
      <c r="B13" t="str">
        <v>Boucherie Ziad Burger </v>
      </c>
      <c r="C13"/>
      <c r="D13"/>
      <c r="E13"/>
      <c r="F13">
        <v>18</v>
      </c>
      <c r="G13" t="str">
        <v>Janet Alam Birthday D.P </v>
      </c>
    </row>
    <row r="14">
      <c r="A14"/>
      <c r="B14" t="str">
        <v>La Valeur Supermarket</v>
      </c>
      <c r="C14"/>
      <c r="D14"/>
      <c r="E14"/>
      <c r="F14">
        <v>41</v>
      </c>
      <c r="G14" t="str">
        <v>Janet Alam Birthday D.P </v>
      </c>
    </row>
    <row r="15">
      <c r="A15"/>
      <c r="B15" t="str">
        <v>Karam Bake </v>
      </c>
      <c r="C15"/>
      <c r="D15"/>
      <c r="E15"/>
      <c r="F15">
        <v>37</v>
      </c>
      <c r="G15" t="str">
        <v>Janet Alam Birthday D.P </v>
      </c>
    </row>
    <row r="16">
      <c r="A16"/>
      <c r="B16" t="str">
        <v>Nour Haybe </v>
      </c>
      <c r="C16"/>
      <c r="D16"/>
      <c r="E16"/>
      <c r="F16">
        <v>22</v>
      </c>
      <c r="G16" t="str">
        <v>Janet Alam Birthday D.P </v>
      </c>
    </row>
    <row r="17">
      <c r="A17"/>
      <c r="B17" t="str">
        <v>Storium Saliba </v>
      </c>
      <c r="C17"/>
      <c r="D17"/>
      <c r="E17"/>
      <c r="F17">
        <v>25</v>
      </c>
      <c r="G17" t="str">
        <v>Janet Alam Birthday D.P </v>
      </c>
    </row>
    <row r="18">
      <c r="A18"/>
      <c r="B18" t="str">
        <v>Le Marchet Selectif </v>
      </c>
      <c r="C18"/>
      <c r="D18"/>
      <c r="E18"/>
      <c r="F18">
        <v>36</v>
      </c>
      <c r="G18" t="str">
        <v>Janet Alam Birthday D.P </v>
      </c>
    </row>
    <row r="19">
      <c r="A19"/>
      <c r="B19"/>
      <c r="C19"/>
      <c r="D19"/>
      <c r="E19"/>
      <c r="F19">
        <v>0</v>
      </c>
      <c r="G19"/>
    </row>
    <row r="20">
      <c r="A20"/>
      <c r="B20"/>
      <c r="C20"/>
      <c r="D20"/>
      <c r="E20"/>
      <c r="F20">
        <v>0</v>
      </c>
      <c r="G20"/>
    </row>
    <row r="21">
      <c r="A21"/>
      <c r="B21" t="str">
        <v>Remaining Cash </v>
      </c>
      <c r="C21"/>
      <c r="D21"/>
      <c r="E21">
        <f>SUM(E4:E20)-F11</f>
        <v>885</v>
      </c>
      <c r="F21"/>
      <c r="G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/>
      <c r="C3"/>
      <c r="D3"/>
      <c r="E3"/>
      <c r="F3"/>
      <c r="G3"/>
    </row>
    <row r="4">
      <c r="A4"/>
      <c r="B4" t="str">
        <v>Opening Petit cash </v>
      </c>
      <c r="C4"/>
      <c r="D4"/>
      <c r="E4">
        <v>85</v>
      </c>
      <c r="F4"/>
      <c r="G4"/>
    </row>
    <row r="5">
      <c r="A5"/>
      <c r="B5" t="str">
        <v>Walk-in Today: Cash In USD</v>
      </c>
      <c r="C5"/>
      <c r="D5"/>
      <c r="E5">
        <v>0</v>
      </c>
      <c r="F5"/>
      <c r="G5"/>
    </row>
    <row r="6">
      <c r="A6"/>
      <c r="B6" t="str">
        <v>Birthday Marc </v>
      </c>
      <c r="C6"/>
      <c r="D6"/>
      <c r="E6">
        <v>700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>
        <v>0</v>
      </c>
      <c r="F9"/>
      <c r="G9" t="str">
        <v/>
      </c>
    </row>
    <row r="10">
      <c r="A10"/>
      <c r="B10"/>
      <c r="C10"/>
      <c r="D10"/>
      <c r="E10"/>
      <c r="F10"/>
      <c r="G10"/>
    </row>
    <row r="11">
      <c r="A11"/>
      <c r="B11"/>
      <c r="C11"/>
      <c r="D11"/>
      <c r="E11"/>
      <c r="F11">
        <v>0</v>
      </c>
      <c r="G11"/>
    </row>
    <row r="12">
      <c r="A12"/>
      <c r="B12" t="str">
        <v>Le Marchet Selectif </v>
      </c>
      <c r="C12"/>
      <c r="D12"/>
      <c r="E12"/>
      <c r="F12">
        <v>80</v>
      </c>
      <c r="G12" t="str">
        <v>Marc Haber Birthday D.P </v>
      </c>
    </row>
    <row r="13">
      <c r="A13"/>
      <c r="B13" t="str">
        <v>Nour Haybe </v>
      </c>
      <c r="C13"/>
      <c r="D13"/>
      <c r="E13"/>
      <c r="F13">
        <v>21</v>
      </c>
      <c r="G13" t="str">
        <v>Marc Haber Birthday D.P </v>
      </c>
    </row>
    <row r="14">
      <c r="A14"/>
      <c r="B14" t="str">
        <v>Storium Saliba Birthday Kitchen </v>
      </c>
      <c r="C14"/>
      <c r="D14"/>
      <c r="E14"/>
      <c r="F14">
        <v>61</v>
      </c>
      <c r="G14" t="str">
        <v>Marc Haber Birthday D.P </v>
      </c>
    </row>
    <row r="15">
      <c r="A15"/>
      <c r="B15" t="str">
        <v>Kitchen Fruits </v>
      </c>
      <c r="C15"/>
      <c r="D15"/>
      <c r="E15"/>
      <c r="F15">
        <v>23</v>
      </c>
      <c r="G15" t="str">
        <v>Marc Haber Birthday D.P </v>
      </c>
    </row>
    <row r="16">
      <c r="A16"/>
      <c r="B16" t="str">
        <v>Boucherie Ziad Burgers </v>
      </c>
      <c r="C16"/>
      <c r="D16"/>
      <c r="E16"/>
      <c r="F16">
        <v>39</v>
      </c>
      <c r="G16" t="str">
        <v>Marc Haber Birthday D.P </v>
      </c>
    </row>
    <row r="17">
      <c r="A17"/>
      <c r="B17" t="str">
        <v>Boucherie Ziad Burgers </v>
      </c>
      <c r="C17"/>
      <c r="D17"/>
      <c r="E17"/>
      <c r="F17">
        <v>18</v>
      </c>
      <c r="G17" t="str">
        <v>Marc Haber Birthday D.P </v>
      </c>
    </row>
    <row r="18">
      <c r="A18"/>
      <c r="B18" t="str">
        <v>Sunrise Market Cheese Bhar Tuna</v>
      </c>
      <c r="C18"/>
      <c r="D18"/>
      <c r="E18"/>
      <c r="F18">
        <v>41</v>
      </c>
      <c r="G18" t="str">
        <v>Marc Haber Birthday D.P </v>
      </c>
    </row>
    <row r="19">
      <c r="A19"/>
      <c r="B19"/>
      <c r="C19"/>
      <c r="D19"/>
      <c r="E19"/>
      <c r="F19">
        <v>0</v>
      </c>
      <c r="G19" t="str">
        <v>Marc Haber Birthday D.P </v>
      </c>
    </row>
    <row r="20">
      <c r="A20"/>
      <c r="B20"/>
      <c r="C20"/>
      <c r="D20"/>
      <c r="E20"/>
      <c r="F20">
        <v>0</v>
      </c>
      <c r="G20" t="str">
        <v>Marc Haber Birthday D.P </v>
      </c>
    </row>
    <row r="21">
      <c r="A21"/>
      <c r="B21" t="str">
        <v>Remaining Cash </v>
      </c>
      <c r="C21"/>
      <c r="D21"/>
      <c r="E21">
        <f>SUM(E4:E20)-F11</f>
        <v>785</v>
      </c>
      <c r="F21"/>
      <c r="G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  <c r="G1"/>
    </row>
    <row r="2">
      <c r="A2"/>
      <c r="B2"/>
      <c r="C2"/>
      <c r="D2"/>
      <c r="E2"/>
      <c r="F2"/>
      <c r="G2"/>
    </row>
    <row r="3">
      <c r="A3"/>
      <c r="B3"/>
      <c r="C3"/>
      <c r="D3"/>
      <c r="E3"/>
      <c r="F3"/>
      <c r="G3"/>
    </row>
    <row r="4">
      <c r="A4"/>
      <c r="B4" t="str">
        <v>Opening Petit cash </v>
      </c>
      <c r="C4"/>
      <c r="D4"/>
      <c r="E4">
        <v>85</v>
      </c>
      <c r="F4"/>
      <c r="G4"/>
    </row>
    <row r="5">
      <c r="A5"/>
      <c r="B5" t="str">
        <v>Walk-in Today: Cash In USD</v>
      </c>
      <c r="C5"/>
      <c r="D5"/>
      <c r="E5">
        <v>157</v>
      </c>
      <c r="F5"/>
      <c r="G5"/>
    </row>
    <row r="6">
      <c r="A6"/>
      <c r="B6" t="str">
        <v>Sarine Dekmak Birthday </v>
      </c>
      <c r="C6"/>
      <c r="D6"/>
      <c r="E6">
        <v>600</v>
      </c>
      <c r="F6"/>
      <c r="G6"/>
    </row>
    <row r="7">
      <c r="A7"/>
      <c r="B7"/>
      <c r="C7"/>
      <c r="D7"/>
      <c r="E7">
        <v>0</v>
      </c>
      <c r="F7"/>
      <c r="G7"/>
    </row>
    <row r="8">
      <c r="A8"/>
      <c r="B8"/>
      <c r="C8"/>
      <c r="D8"/>
      <c r="E8">
        <v>0</v>
      </c>
      <c r="F8"/>
      <c r="G8"/>
    </row>
    <row r="9">
      <c r="A9"/>
      <c r="B9"/>
      <c r="C9"/>
      <c r="D9"/>
      <c r="E9">
        <v>0</v>
      </c>
      <c r="F9"/>
      <c r="G9" t="str">
        <v/>
      </c>
    </row>
    <row r="10">
      <c r="A10"/>
      <c r="B10"/>
      <c r="C10"/>
      <c r="D10"/>
      <c r="E10"/>
      <c r="F10"/>
      <c r="G10"/>
    </row>
    <row r="11">
      <c r="A11"/>
      <c r="B11" t="str">
        <v>EDL (Little Hands )</v>
      </c>
      <c r="C11"/>
      <c r="D11"/>
      <c r="E11"/>
      <c r="F11">
        <v>51</v>
      </c>
      <c r="G11"/>
    </row>
    <row r="12">
      <c r="A12"/>
      <c r="B12" t="str">
        <v>Mhamad Imdedet May</v>
      </c>
      <c r="C12"/>
      <c r="D12"/>
      <c r="E12"/>
      <c r="F12">
        <v>51</v>
      </c>
      <c r="G12"/>
    </row>
    <row r="13">
      <c r="A13"/>
      <c r="B13" t="str">
        <v>Wissam Mansour Ashwe Coffe </v>
      </c>
      <c r="C13"/>
      <c r="D13"/>
      <c r="E13"/>
      <c r="F13">
        <v>100</v>
      </c>
      <c r="G13"/>
    </row>
    <row r="14">
      <c r="A14"/>
      <c r="B14" t="str">
        <v>Nour haybe </v>
      </c>
      <c r="C14"/>
      <c r="D14"/>
      <c r="E14"/>
      <c r="F14">
        <v>21</v>
      </c>
      <c r="G14" t="str">
        <v>Sarine Dekmak Birthday D.P </v>
      </c>
    </row>
    <row r="15">
      <c r="A15"/>
      <c r="B15" t="str">
        <v>Thaer </v>
      </c>
      <c r="C15"/>
      <c r="D15"/>
      <c r="E15"/>
      <c r="F15">
        <v>129</v>
      </c>
      <c r="G15" t="str">
        <v>Sarine Dekmak Birthday D.P </v>
      </c>
    </row>
    <row r="16">
      <c r="A16"/>
      <c r="B16" t="str">
        <v>Karam Bake </v>
      </c>
      <c r="C16"/>
      <c r="D16"/>
      <c r="E16"/>
      <c r="F16">
        <v>51</v>
      </c>
      <c r="G16" t="str">
        <v>Sarine Dekmak Birthday D.P </v>
      </c>
    </row>
    <row r="17">
      <c r="A17"/>
      <c r="B17" t="str">
        <v>Mallah Librarie ( Roll paper, Conson , Fluffy Clay …..)</v>
      </c>
      <c r="C17"/>
      <c r="D17"/>
      <c r="E17"/>
      <c r="F17">
        <v>70</v>
      </c>
      <c r="G17" t="str">
        <v>Sarine Dekmak Birthday D.P </v>
      </c>
    </row>
    <row r="18">
      <c r="A18"/>
      <c r="B18"/>
      <c r="C18"/>
      <c r="D18"/>
      <c r="E18"/>
      <c r="F18">
        <v>0</v>
      </c>
      <c r="G18" t="str">
        <v>Sarine Dekmak Birthday D.P </v>
      </c>
    </row>
    <row r="19">
      <c r="A19"/>
      <c r="B19"/>
      <c r="C19"/>
      <c r="D19"/>
      <c r="E19"/>
      <c r="F19">
        <v>0</v>
      </c>
      <c r="G19" t="str">
        <v>Sarine Dekmak Birthday D.P </v>
      </c>
    </row>
    <row r="20">
      <c r="A20"/>
      <c r="B20"/>
      <c r="C20"/>
      <c r="D20"/>
      <c r="E20"/>
      <c r="F20">
        <v>0</v>
      </c>
      <c r="G20"/>
    </row>
    <row r="21">
      <c r="A21"/>
      <c r="B21" t="str">
        <v>Remaining Cash </v>
      </c>
      <c r="C21"/>
      <c r="D21"/>
      <c r="E21">
        <f>SUM(E4:E20)-F11-F12-F13</f>
        <v>640</v>
      </c>
      <c r="F21"/>
      <c r="G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A1" sqref="A1"/>
    </sheetView>
  </sheetViews>
  <sheetFormatPr baseColWidth="8" defaultRowHeight="15"/>
  <sheetData>
    <row r="1">
      <c r="A1"/>
      <c r="B1"/>
      <c r="C1"/>
      <c r="D1"/>
      <c r="E1"/>
      <c r="F1"/>
    </row>
    <row r="2">
      <c r="A2"/>
      <c r="B2"/>
      <c r="C2"/>
      <c r="D2"/>
      <c r="E2"/>
      <c r="F2"/>
    </row>
    <row r="3">
      <c r="A3"/>
      <c r="B3"/>
      <c r="C3"/>
      <c r="D3"/>
      <c r="E3"/>
      <c r="F3"/>
    </row>
    <row r="4">
      <c r="A4"/>
      <c r="B4" t="str">
        <v>Opening Petit cash </v>
      </c>
      <c r="C4"/>
      <c r="D4"/>
      <c r="E4">
        <v>40</v>
      </c>
      <c r="F4"/>
    </row>
    <row r="5">
      <c r="A5"/>
      <c r="B5" t="str">
        <v>Walk-in Today: Cash In USD</v>
      </c>
      <c r="C5"/>
      <c r="D5"/>
      <c r="E5">
        <v>167</v>
      </c>
      <c r="F5"/>
    </row>
    <row r="6">
      <c r="A6"/>
      <c r="B6"/>
      <c r="C6"/>
      <c r="D6"/>
      <c r="E6">
        <v>0</v>
      </c>
      <c r="F6"/>
    </row>
    <row r="7">
      <c r="A7"/>
      <c r="B7"/>
      <c r="C7"/>
      <c r="D7"/>
      <c r="E7">
        <v>0</v>
      </c>
      <c r="F7"/>
    </row>
    <row r="8">
      <c r="A8"/>
      <c r="B8"/>
      <c r="C8"/>
      <c r="D8"/>
      <c r="E8">
        <v>0</v>
      </c>
      <c r="F8"/>
    </row>
    <row r="9">
      <c r="A9"/>
      <c r="B9"/>
      <c r="C9"/>
      <c r="D9"/>
      <c r="E9">
        <v>0</v>
      </c>
      <c r="F9"/>
    </row>
    <row r="10">
      <c r="A10"/>
      <c r="B10"/>
      <c r="C10"/>
      <c r="D10"/>
      <c r="E10"/>
      <c r="F10"/>
    </row>
    <row r="11">
      <c r="A11"/>
      <c r="B11"/>
      <c r="C11"/>
      <c r="D11"/>
      <c r="E11"/>
      <c r="F11">
        <v>0</v>
      </c>
    </row>
    <row r="12">
      <c r="A12"/>
      <c r="B12"/>
      <c r="C12"/>
      <c r="D12"/>
      <c r="E12"/>
      <c r="F12">
        <v>0</v>
      </c>
    </row>
    <row r="13">
      <c r="A13"/>
      <c r="B13"/>
      <c r="C13"/>
      <c r="D13"/>
      <c r="E13"/>
      <c r="F13">
        <v>0</v>
      </c>
    </row>
    <row r="14">
      <c r="A14"/>
      <c r="B14"/>
      <c r="C14"/>
      <c r="D14"/>
      <c r="E14"/>
      <c r="F14">
        <v>0</v>
      </c>
    </row>
    <row r="15">
      <c r="A15"/>
      <c r="B15"/>
      <c r="C15"/>
      <c r="D15"/>
      <c r="E15"/>
      <c r="F15">
        <v>0</v>
      </c>
    </row>
    <row r="16">
      <c r="A16"/>
      <c r="B16"/>
      <c r="C16"/>
      <c r="D16"/>
      <c r="E16"/>
      <c r="F16">
        <v>0</v>
      </c>
    </row>
    <row r="17">
      <c r="A17"/>
      <c r="B17"/>
      <c r="C17"/>
      <c r="D17"/>
      <c r="E17"/>
      <c r="F17">
        <v>0</v>
      </c>
    </row>
    <row r="18">
      <c r="A18"/>
      <c r="B18"/>
      <c r="C18"/>
      <c r="D18"/>
      <c r="E18"/>
      <c r="F18">
        <v>0</v>
      </c>
    </row>
    <row r="19">
      <c r="A19"/>
      <c r="B19"/>
      <c r="C19"/>
      <c r="D19"/>
      <c r="E19"/>
      <c r="F19">
        <v>0</v>
      </c>
    </row>
    <row r="20">
      <c r="A20"/>
      <c r="B20"/>
      <c r="C20"/>
      <c r="D20"/>
      <c r="E20"/>
      <c r="F20">
        <v>0</v>
      </c>
    </row>
    <row r="21">
      <c r="A21"/>
      <c r="B21" t="str">
        <v>Remaining Cash </v>
      </c>
      <c r="C21"/>
      <c r="D21"/>
      <c r="E21">
        <f>SUM(E4:E20)-F11-F12-F13</f>
        <v>207</v>
      </c>
      <c r="F21"/>
    </row>
  </sheetData>
  <mergeCells count="18">
    <mergeCell ref="B3:C3"/>
    <mergeCell ref="B4:C4"/>
    <mergeCell ref="B5:D5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>
      <selection pane="topLeft" activeCell="G1" sqref="G1"/>
    </sheetView>
  </sheetViews>
  <sheetFormatPr baseColWidth="8" defaultRowHeight="15"/>
  <cols>
    <col min="5" max="5" width="8.03" customWidth="1"/>
    <col min="6" max="6" width="8.21" customWidth="1"/>
  </cols>
  <sheetData>
    <row r="1">
      <c r="A1"/>
      <c r="B1" t="str">
        <v>Description</v>
      </c>
      <c r="C1" t="str">
        <v>In$ </v>
      </c>
      <c r="D1" t="str">
        <v>Exp $</v>
      </c>
      <c r="E1" t="str">
        <v>Invoice Already Paid From D.P Birthday </v>
      </c>
      <c r="F1" t="str">
        <v>Cash With sanaa From sales </v>
      </c>
      <c r="G1" t="str">
        <v>Down Payment Birthday &amp; Event </v>
      </c>
      <c r="H1" t="str">
        <v>Total$</v>
      </c>
      <c r="I1"/>
      <c r="J1"/>
    </row>
    <row r="2">
      <c r="A2" t="str">
        <v>1-8-2026</v>
      </c>
      <c r="B2" t="str">
        <v>Remainig Cash From June 2026 ( Sanaa)</v>
      </c>
      <c r="C2">
        <v>955</v>
      </c>
      <c r="D2"/>
      <c r="E2"/>
      <c r="F2"/>
      <c r="G2"/>
      <c r="H2">
        <f>C2</f>
        <v>955</v>
      </c>
      <c r="I2"/>
      <c r="J2"/>
    </row>
    <row r="3">
      <c r="A3"/>
      <c r="B3" t="str">
        <v>Remainig Cash From Birthday D.P June 2026</v>
      </c>
      <c r="C3"/>
      <c r="D3"/>
      <c r="E3"/>
      <c r="F3"/>
      <c r="G3">
        <v>550</v>
      </c>
      <c r="H3" s="0">
        <f>H2+C3-D3-F3-G3</f>
        <v>405</v>
      </c>
      <c r="I3"/>
      <c r="J3"/>
    </row>
    <row r="4">
      <c r="A4"/>
      <c r="B4" t="str">
        <v>Remainig Cash Flow From June 2026 ( Sanaa)</v>
      </c>
      <c r="C4"/>
      <c r="D4"/>
      <c r="E4"/>
      <c r="F4">
        <v>955</v>
      </c>
      <c r="G4"/>
      <c r="H4">
        <f>H3+C4-D4-F4-G4</f>
        <v>-550</v>
      </c>
      <c r="I4"/>
      <c r="J4"/>
    </row>
    <row r="5">
      <c r="A5"/>
      <c r="B5" t="str">
        <v>Walk-in </v>
      </c>
      <c r="C5">
        <f>'1-8-2026'!E4</f>
        <v>250</v>
      </c>
      <c r="D5"/>
      <c r="E5"/>
      <c r="F5"/>
      <c r="G5"/>
      <c r="H5" s="0">
        <f>H4+C5-D5-F5-G5</f>
        <v>-300</v>
      </c>
      <c r="I5"/>
      <c r="J5"/>
    </row>
    <row r="6">
      <c r="A6"/>
      <c r="B6" t="str">
        <v>Birthday kaylie</v>
      </c>
      <c r="C6">
        <v>645</v>
      </c>
      <c r="D6"/>
      <c r="E6"/>
      <c r="F6"/>
      <c r="G6"/>
      <c r="H6">
        <f>H5+C6-D6-F6-G6</f>
        <v>345</v>
      </c>
      <c r="I6"/>
      <c r="J6"/>
    </row>
    <row r="7">
      <c r="A7"/>
      <c r="B7" t="str">
        <v>Cash Flow (Sanaa)</v>
      </c>
      <c r="C7"/>
      <c r="D7"/>
      <c r="E7"/>
      <c r="F7">
        <v>450</v>
      </c>
      <c r="G7"/>
      <c r="H7" s="0">
        <f>H6+C7-D7-F7-G7</f>
        <v>-105</v>
      </c>
      <c r="I7"/>
      <c r="J7"/>
    </row>
    <row r="8">
      <c r="A8"/>
      <c r="B8" t="str">
        <v>Marwaha &amp; Lamp </v>
      </c>
      <c r="C8"/>
      <c r="D8">
        <v>15</v>
      </c>
      <c r="E8"/>
      <c r="F8"/>
      <c r="G8"/>
      <c r="H8">
        <f>H7+C8-D8-F8-G8</f>
        <v>-120</v>
      </c>
      <c r="I8"/>
      <c r="J8"/>
    </row>
    <row r="9">
      <c r="A9"/>
      <c r="B9" t="str">
        <v>Manakich Zaatar </v>
      </c>
      <c r="C9"/>
      <c r="D9">
        <v>6</v>
      </c>
      <c r="E9"/>
      <c r="F9"/>
      <c r="G9"/>
      <c r="H9" s="0">
        <f>H8+C9-D9-F9-G9</f>
        <v>-126</v>
      </c>
      <c r="I9"/>
      <c r="J9"/>
    </row>
    <row r="10">
      <c r="A10"/>
      <c r="B10" t="str">
        <v>Nour Malek </v>
      </c>
      <c r="C10"/>
      <c r="D10">
        <v>26</v>
      </c>
      <c r="E10"/>
      <c r="F10"/>
      <c r="G10"/>
      <c r="H10">
        <f>H9+C10-D10-F10-G10</f>
        <v>-152</v>
      </c>
      <c r="I10"/>
      <c r="J10"/>
    </row>
    <row r="11">
      <c r="A11"/>
      <c r="B11" t="str">
        <v>Le Marchet Selectif </v>
      </c>
      <c r="C11"/>
      <c r="D11">
        <v>20</v>
      </c>
      <c r="E11"/>
      <c r="F11"/>
      <c r="G11"/>
      <c r="H11" s="0">
        <f>H10+C11-D11-F11-G11</f>
        <v>-172</v>
      </c>
      <c r="I11"/>
      <c r="J11"/>
    </row>
    <row r="12">
      <c r="A12"/>
      <c r="B12" t="str">
        <v>Amal Advance On Salary August </v>
      </c>
      <c r="C12"/>
      <c r="D12">
        <v>100</v>
      </c>
      <c r="E12"/>
      <c r="F12"/>
      <c r="G12"/>
      <c r="H12">
        <f>H11+C12-D12-F12-G12</f>
        <v>-272</v>
      </c>
      <c r="I12"/>
      <c r="J12"/>
    </row>
    <row r="13">
      <c r="A13"/>
      <c r="B13" t="str">
        <v>Eva Maalouly</v>
      </c>
      <c r="C13"/>
      <c r="D13">
        <v>21</v>
      </c>
      <c r="E13"/>
      <c r="F13"/>
      <c r="G13"/>
      <c r="H13" s="0">
        <f>H12+C13-D13-F13-G13</f>
        <v>-293</v>
      </c>
      <c r="I13"/>
      <c r="J13"/>
    </row>
    <row r="14">
      <c r="A14"/>
      <c r="B14" t="str">
        <v>Le Marchet Selectif </v>
      </c>
      <c r="C14"/>
      <c r="D14">
        <v>67</v>
      </c>
      <c r="E14"/>
      <c r="F14"/>
      <c r="G14"/>
      <c r="H14">
        <f>H13+C14-D14-F14-G14</f>
        <v>-360</v>
      </c>
      <c r="I14"/>
      <c r="J14"/>
    </row>
    <row r="15">
      <c r="A15"/>
      <c r="B15" t="str">
        <v>Irtife2 w Tokhtit Baladiye</v>
      </c>
      <c r="C15"/>
      <c r="D15">
        <v>100</v>
      </c>
      <c r="E15"/>
      <c r="F15"/>
      <c r="G15"/>
      <c r="H15" s="0">
        <f>H14+C15-D15-F15-G15</f>
        <v>-460</v>
      </c>
      <c r="I15"/>
      <c r="J15"/>
    </row>
    <row r="16">
      <c r="A16"/>
      <c r="B16" t="str">
        <v>Nour Haybe </v>
      </c>
      <c r="C16"/>
      <c r="D16">
        <v>26</v>
      </c>
      <c r="E16"/>
      <c r="F16"/>
      <c r="G16"/>
      <c r="H16">
        <f>H15+C16-D16-F16-G16</f>
        <v>-486</v>
      </c>
      <c r="I16"/>
      <c r="J16"/>
    </row>
    <row r="17">
      <c r="A17"/>
      <c r="B17" t="str">
        <v>Stephanie Jalwan D.P Birthday 9-8-2026</v>
      </c>
      <c r="C17"/>
      <c r="D17"/>
      <c r="E17"/>
      <c r="F17"/>
      <c r="G17">
        <v>300</v>
      </c>
      <c r="H17" s="0">
        <f>H16+C17-D17-F17-G17</f>
        <v>-786</v>
      </c>
      <c r="I17"/>
      <c r="J17"/>
    </row>
    <row r="18">
      <c r="A18" t="str">
        <v>2-8-2026</v>
      </c>
      <c r="B18" t="str">
        <v>Walk-in </v>
      </c>
      <c r="C18">
        <f>'2-8-2026'!E4</f>
        <v>785</v>
      </c>
      <c r="D18"/>
      <c r="E18"/>
      <c r="F18"/>
      <c r="G18"/>
      <c r="H18">
        <f>H17+C18-D18-F18-G18</f>
        <v>-1</v>
      </c>
      <c r="I18"/>
      <c r="J18"/>
    </row>
    <row r="19">
      <c r="A19"/>
      <c r="B19" t="str">
        <v>Le Marchet Selectif </v>
      </c>
      <c r="C19"/>
      <c r="D19">
        <v>121</v>
      </c>
      <c r="E19"/>
      <c r="F19"/>
      <c r="G19"/>
      <c r="H19" s="0">
        <f>H18+C19-D19-F19-G19</f>
        <v>-122</v>
      </c>
      <c r="I19"/>
      <c r="J19"/>
    </row>
    <row r="20">
      <c r="A20"/>
      <c r="B20" t="str">
        <v>Citern Water Little Hands (Old Inv)</v>
      </c>
      <c r="C20"/>
      <c r="D20">
        <v>80</v>
      </c>
      <c r="E20"/>
      <c r="F20"/>
      <c r="G20"/>
      <c r="H20">
        <f>H19+C20-D20-F20-G20</f>
        <v>-202</v>
      </c>
      <c r="I20"/>
      <c r="J20"/>
    </row>
    <row r="21">
      <c r="A21"/>
      <c r="B21" t="str">
        <v>Citern Water Little Hands (New Inv)</v>
      </c>
      <c r="C21"/>
      <c r="D21">
        <v>20</v>
      </c>
      <c r="E21"/>
      <c r="F21"/>
      <c r="G21"/>
      <c r="H21" s="0">
        <f>H20+C21-D21-F21-G21</f>
        <v>-222</v>
      </c>
      <c r="I21"/>
      <c r="J21"/>
    </row>
    <row r="22">
      <c r="A22"/>
      <c r="B22" t="str">
        <v>Nour Malek 2 Working day </v>
      </c>
      <c r="C22"/>
      <c r="D22">
        <v>40</v>
      </c>
      <c r="E22"/>
      <c r="F22"/>
      <c r="G22"/>
      <c r="H22">
        <f>H21+C22-D22-F22-G22</f>
        <v>-262</v>
      </c>
      <c r="I22"/>
      <c r="J22"/>
    </row>
    <row r="23">
      <c r="A23"/>
      <c r="B23" t="str">
        <v>Brocoli (Geryes Malek ) Old Invoices </v>
      </c>
      <c r="C23"/>
      <c r="D23">
        <v>100</v>
      </c>
      <c r="E23"/>
      <c r="F23"/>
      <c r="G23"/>
      <c r="H23" s="0">
        <f>H22+C23-D23-F23-G23</f>
        <v>-362</v>
      </c>
      <c r="I23"/>
      <c r="J23"/>
    </row>
    <row r="24">
      <c r="A24"/>
      <c r="B24" t="str">
        <v>Cash Flow (Sanaa)</v>
      </c>
      <c r="C24"/>
      <c r="D24"/>
      <c r="E24"/>
      <c r="F24">
        <v>600</v>
      </c>
      <c r="G24"/>
      <c r="H24">
        <f>H23+C24-D24-F24-G24</f>
        <v>-962</v>
      </c>
      <c r="I24"/>
      <c r="J24"/>
    </row>
    <row r="25">
      <c r="A25" t="str">
        <v>5-8-2026</v>
      </c>
      <c r="B25" t="str">
        <v>Cleaning Supplies</v>
      </c>
      <c r="C25"/>
      <c r="D25">
        <v>30</v>
      </c>
      <c r="E25"/>
      <c r="F25"/>
      <c r="G25"/>
      <c r="H25" s="0">
        <f>H24+C25-D25-F25-G25</f>
        <v>-992</v>
      </c>
      <c r="I25"/>
      <c r="J25"/>
    </row>
    <row r="26">
      <c r="A26"/>
      <c r="B26" t="str">
        <v>Shein Orders </v>
      </c>
      <c r="C26"/>
      <c r="D26">
        <v>125</v>
      </c>
      <c r="E26"/>
      <c r="F26"/>
      <c r="G26"/>
      <c r="H26">
        <f>H25+C26-D26-F26-G26</f>
        <v>-1117</v>
      </c>
      <c r="I26"/>
      <c r="J26"/>
    </row>
    <row r="27">
      <c r="A27"/>
      <c r="B27" t="str">
        <v>Lara Cleaning H Of Sunday </v>
      </c>
      <c r="C27"/>
      <c r="D27">
        <v>28</v>
      </c>
      <c r="E27"/>
      <c r="F27"/>
      <c r="G27"/>
      <c r="H27" s="0">
        <f>H26+C27-D27-F27-G27</f>
        <v>-1145</v>
      </c>
      <c r="I27"/>
      <c r="J27"/>
    </row>
    <row r="28">
      <c r="A28"/>
      <c r="B28" t="str">
        <v>Benzin Thaer</v>
      </c>
      <c r="C28"/>
      <c r="D28">
        <v>70</v>
      </c>
      <c r="E28"/>
      <c r="F28"/>
      <c r="G28"/>
      <c r="H28">
        <f>H27+C28-D28-F28-G28</f>
        <v>-1215</v>
      </c>
      <c r="I28"/>
      <c r="J28"/>
    </row>
    <row r="29">
      <c r="A29"/>
      <c r="B29" t="str">
        <v>Mini Market Pierre Mallah </v>
      </c>
      <c r="C29"/>
      <c r="D29">
        <v>8</v>
      </c>
      <c r="E29"/>
      <c r="F29"/>
      <c r="G29"/>
      <c r="H29" s="0">
        <f>H28+C29-D29-F29-G29</f>
        <v>-1223</v>
      </c>
      <c r="I29"/>
      <c r="J29"/>
    </row>
    <row r="30">
      <c r="A30"/>
      <c r="B30" t="str">
        <v>Spinneys </v>
      </c>
      <c r="C30"/>
      <c r="D30">
        <v>31</v>
      </c>
      <c r="E30"/>
      <c r="F30"/>
      <c r="G30"/>
      <c r="H30">
        <f>H29+C30-D30-F30-G30</f>
        <v>-1254</v>
      </c>
      <c r="I30"/>
      <c r="J30"/>
    </row>
    <row r="31">
      <c r="A31"/>
      <c r="B31" t="str">
        <v>Kinder Camp </v>
      </c>
      <c r="C31">
        <v>588</v>
      </c>
      <c r="D31"/>
      <c r="E31"/>
      <c r="F31"/>
      <c r="G31"/>
      <c r="H31" s="0">
        <f>H30+C31-D31-F31-G31</f>
        <v>-666</v>
      </c>
      <c r="I31"/>
      <c r="J31"/>
    </row>
    <row r="32">
      <c r="A32"/>
      <c r="B32" t="str">
        <v>Cash Flow (Sanaa)</v>
      </c>
      <c r="C32"/>
      <c r="D32"/>
      <c r="E32"/>
      <c r="F32">
        <v>300</v>
      </c>
      <c r="G32"/>
      <c r="H32">
        <f>H31+C32-D32-F32-G32</f>
        <v>-966</v>
      </c>
      <c r="I32"/>
      <c r="J32"/>
    </row>
    <row r="33">
      <c r="A33" t="str">
        <v>6-8-2026</v>
      </c>
      <c r="B33" t="str">
        <v>College Melkart</v>
      </c>
      <c r="C33">
        <v>372</v>
      </c>
      <c r="D33"/>
      <c r="E33"/>
      <c r="F33"/>
      <c r="G33"/>
      <c r="H33" s="0">
        <f>H32+C33-D33-F33-G33</f>
        <v>-594</v>
      </c>
      <c r="I33"/>
      <c r="J33"/>
    </row>
    <row r="34">
      <c r="A34"/>
      <c r="B34" t="str">
        <v>Cash Flow (Sanaa)</v>
      </c>
      <c r="C34"/>
      <c r="D34"/>
      <c r="E34"/>
      <c r="F34">
        <v>350</v>
      </c>
      <c r="G34"/>
      <c r="H34">
        <f>H33+C34-D34-F34-G34</f>
        <v>-944</v>
      </c>
      <c r="I34"/>
      <c r="J34"/>
    </row>
    <row r="35">
      <c r="A35" t="str">
        <v>7-8-2026</v>
      </c>
      <c r="B35" t="str">
        <v>Modern Star Lebanon (Verdun&amp;Hazmieh)</v>
      </c>
      <c r="C35">
        <v>384</v>
      </c>
      <c r="D35"/>
      <c r="E35"/>
      <c r="F35"/>
      <c r="G35"/>
      <c r="H35" s="0">
        <f>H34+C35-D35-F35-G35</f>
        <v>-560</v>
      </c>
      <c r="I35"/>
      <c r="J35"/>
    </row>
    <row r="36">
      <c r="A36"/>
      <c r="B36" t="str">
        <v>Rabieh Nursery</v>
      </c>
      <c r="C36">
        <v>648</v>
      </c>
      <c r="D36"/>
      <c r="E36"/>
      <c r="F36"/>
      <c r="G36"/>
      <c r="H36">
        <f>H35+C36-D36-F36-G36</f>
        <v>88</v>
      </c>
      <c r="I36"/>
      <c r="J36"/>
    </row>
    <row r="37">
      <c r="A37"/>
      <c r="B37" t="str">
        <v>Nour Haybe</v>
      </c>
      <c r="C37"/>
      <c r="D37">
        <v>32</v>
      </c>
      <c r="E37"/>
      <c r="F37"/>
      <c r="G37"/>
      <c r="H37" s="0">
        <f>H36+C37-D37-F37-G37</f>
        <v>56</v>
      </c>
      <c r="I37"/>
      <c r="J37"/>
    </row>
    <row r="38">
      <c r="A38"/>
      <c r="B38" t="str">
        <v>Cynthia Helo</v>
      </c>
      <c r="C38"/>
      <c r="D38">
        <v>25</v>
      </c>
      <c r="E38"/>
      <c r="F38"/>
      <c r="G38"/>
      <c r="H38">
        <f>H37+C38-D38-F38-G38</f>
        <v>31</v>
      </c>
      <c r="I38"/>
      <c r="J38"/>
    </row>
    <row r="39">
      <c r="A39"/>
      <c r="B39" t="str">
        <v>Event Megastore ( Workshops &amp; Birthdays )</v>
      </c>
      <c r="C39"/>
      <c r="D39">
        <v>113</v>
      </c>
      <c r="E39"/>
      <c r="F39"/>
      <c r="G39"/>
      <c r="H39" s="0">
        <f>H38+C39-D39-F39-G39</f>
        <v>-82</v>
      </c>
      <c r="I39"/>
      <c r="J39"/>
    </row>
    <row r="40">
      <c r="A40"/>
      <c r="B40" t="str">
        <v>Nour Malek </v>
      </c>
      <c r="C40"/>
      <c r="D40">
        <v>26</v>
      </c>
      <c r="E40"/>
      <c r="F40"/>
      <c r="G40"/>
      <c r="H40">
        <f>H39+C40-D40-F40-G40</f>
        <v>-108</v>
      </c>
      <c r="I40"/>
      <c r="J40"/>
    </row>
    <row r="41">
      <c r="A41"/>
      <c r="B41" t="str">
        <v>Le Marchet Selectif </v>
      </c>
      <c r="C41"/>
      <c r="D41">
        <v>20</v>
      </c>
      <c r="E41"/>
      <c r="F41"/>
      <c r="G41"/>
      <c r="H41" s="0">
        <f>H40+C41-D41-F41-G41</f>
        <v>-128</v>
      </c>
      <c r="I41"/>
      <c r="J41"/>
    </row>
    <row r="42">
      <c r="A42"/>
      <c r="B42" t="str">
        <v>Amal Advance On Salary August </v>
      </c>
      <c r="C42"/>
      <c r="D42">
        <v>100</v>
      </c>
      <c r="E42"/>
      <c r="F42"/>
      <c r="G42"/>
      <c r="H42">
        <f>H41+C42-D42-F42-G42</f>
        <v>-228</v>
      </c>
      <c r="I42"/>
      <c r="J42"/>
    </row>
    <row r="43">
      <c r="A43"/>
      <c r="B43" t="str">
        <v>Eva Maalouly</v>
      </c>
      <c r="C43"/>
      <c r="D43">
        <v>21</v>
      </c>
      <c r="E43"/>
      <c r="F43"/>
      <c r="G43"/>
      <c r="H43" s="0">
        <f>H42+C43-D43-F43-G43</f>
        <v>-249</v>
      </c>
      <c r="I43"/>
      <c r="J43"/>
    </row>
    <row r="44">
      <c r="A44"/>
      <c r="B44" t="str">
        <v>For Amal Burger Kibbe </v>
      </c>
      <c r="C44"/>
      <c r="D44">
        <v>100</v>
      </c>
      <c r="E44"/>
      <c r="F44"/>
      <c r="G44"/>
      <c r="H44">
        <f>H43+C44-D44-F44-G44</f>
        <v>-349</v>
      </c>
      <c r="I44"/>
      <c r="J44"/>
    </row>
    <row r="45">
      <c r="A45"/>
      <c r="B45" t="str">
        <v>fairco International</v>
      </c>
      <c r="C45"/>
      <c r="D45"/>
      <c r="E45">
        <v>151</v>
      </c>
      <c r="F45"/>
      <c r="G45"/>
      <c r="H45">
        <f>H44+C45-D45-F45-G45</f>
        <v>-349</v>
      </c>
      <c r="I45"/>
      <c r="J45"/>
    </row>
    <row r="46">
      <c r="A46"/>
      <c r="B46" t="str">
        <v>fairco International</v>
      </c>
      <c r="C46"/>
      <c r="D46"/>
      <c r="E46">
        <v>102</v>
      </c>
      <c r="F46"/>
      <c r="G46"/>
      <c r="H46">
        <f>H45+C46-D46-F46-G46</f>
        <v>-349</v>
      </c>
      <c r="I46"/>
      <c r="J46"/>
    </row>
    <row r="47">
      <c r="A47"/>
      <c r="B47" t="str">
        <v>Spinneys Kitchen</v>
      </c>
      <c r="C47"/>
      <c r="D47"/>
      <c r="E47">
        <v>77.73</v>
      </c>
      <c r="F47"/>
      <c r="G47"/>
      <c r="H47">
        <f>H46+C47-D47-F47-G47</f>
        <v>-349</v>
      </c>
      <c r="I47"/>
      <c r="J47"/>
    </row>
    <row r="48">
      <c r="A48"/>
      <c r="B48" t="str">
        <v>Spinneys Hygiene workshop</v>
      </c>
      <c r="C48"/>
      <c r="D48"/>
      <c r="E48">
        <v>79.12</v>
      </c>
      <c r="F48"/>
      <c r="G48"/>
      <c r="H48">
        <f>H47+C48-D48-F48-G48</f>
        <v>-349</v>
      </c>
      <c r="I48"/>
      <c r="J48"/>
    </row>
    <row r="49">
      <c r="A49"/>
      <c r="B49" t="str">
        <v>Le Marchet Selectif </v>
      </c>
      <c r="C49"/>
      <c r="D49"/>
      <c r="E49">
        <v>100</v>
      </c>
      <c r="F49"/>
      <c r="G49"/>
      <c r="H49">
        <f>H48+C49-D49-F49-G49</f>
        <v>-349</v>
      </c>
      <c r="I49"/>
      <c r="J49"/>
    </row>
    <row r="50">
      <c r="A50"/>
      <c r="B50" t="str">
        <v>Cash Flow (Sanaa)</v>
      </c>
      <c r="C50"/>
      <c r="D50"/>
      <c r="E50"/>
      <c r="F50">
        <v>600</v>
      </c>
      <c r="G50"/>
      <c r="H50" s="0">
        <f>H49+C50-D50-F50-G50</f>
        <v>-949</v>
      </c>
      <c r="I50"/>
      <c r="J50"/>
    </row>
    <row r="51">
      <c r="A51" t="str">
        <v>8-8-2026</v>
      </c>
      <c r="B51" t="str">
        <v>Walk-in Today: Cash In USD</v>
      </c>
      <c r="C51">
        <v>250</v>
      </c>
      <c r="D51"/>
      <c r="E51"/>
      <c r="F51"/>
      <c r="G51"/>
      <c r="H51">
        <f>H50+C51-D51-F51-G51</f>
        <v>-699</v>
      </c>
      <c r="I51"/>
      <c r="J51"/>
    </row>
    <row r="52">
      <c r="A52"/>
      <c r="B52" t="str">
        <v>Gaelle Semaan Birthday</v>
      </c>
      <c r="C52">
        <v>620</v>
      </c>
      <c r="D52"/>
      <c r="E52"/>
      <c r="F52"/>
      <c r="G52"/>
      <c r="H52" s="0">
        <f>H51+C52-D52-F52-G52</f>
        <v>-79</v>
      </c>
      <c r="I52"/>
      <c r="J52"/>
    </row>
    <row r="53">
      <c r="A53"/>
      <c r="B53" t="str">
        <v>Amani Saloum</v>
      </c>
      <c r="C53">
        <v>330</v>
      </c>
      <c r="D53"/>
      <c r="E53"/>
      <c r="F53"/>
      <c r="G53"/>
      <c r="H53">
        <f>H52+C53-D53-F53-G53</f>
        <v>251</v>
      </c>
      <c r="I53"/>
      <c r="J53"/>
    </row>
    <row r="54">
      <c r="A54"/>
      <c r="B54" t="str">
        <v>Thaer Invoices </v>
      </c>
      <c r="C54"/>
      <c r="D54">
        <v>41</v>
      </c>
      <c r="E54"/>
      <c r="F54"/>
      <c r="G54"/>
      <c r="H54" s="0">
        <f>H53+C54-D54-F54-G54</f>
        <v>210</v>
      </c>
      <c r="I54"/>
      <c r="J54"/>
    </row>
    <row r="55">
      <c r="A55"/>
      <c r="B55" t="str">
        <v>Imaco Garbage</v>
      </c>
      <c r="C55"/>
      <c r="D55">
        <v>30</v>
      </c>
      <c r="E55"/>
      <c r="F55"/>
      <c r="G55"/>
      <c r="H55">
        <f>H54+C55-D55-F55-G55</f>
        <v>180</v>
      </c>
      <c r="I55"/>
      <c r="J55"/>
    </row>
    <row r="56">
      <c r="A56"/>
      <c r="B56" t="str">
        <v>Fresh &amp; More Vegtables &amp; Fruits For 3 Birthdays </v>
      </c>
      <c r="C56"/>
      <c r="D56">
        <v>17</v>
      </c>
      <c r="E56"/>
      <c r="F56"/>
      <c r="G56"/>
      <c r="H56" s="0">
        <f>H55+C56-D56-F56-G56</f>
        <v>163</v>
      </c>
      <c r="I56"/>
      <c r="J56"/>
    </row>
    <row r="57">
      <c r="A57"/>
      <c r="B57" t="str">
        <v>Noour Malek </v>
      </c>
      <c r="C57"/>
      <c r="D57">
        <v>23</v>
      </c>
      <c r="E57"/>
      <c r="F57"/>
      <c r="G57"/>
      <c r="H57">
        <f>H56+C57-D57-F57-G57</f>
        <v>140</v>
      </c>
      <c r="I57"/>
      <c r="J57"/>
    </row>
    <row r="58">
      <c r="A58"/>
      <c r="B58" t="str">
        <v>Nour Haybe </v>
      </c>
      <c r="C58"/>
      <c r="D58">
        <v>36</v>
      </c>
      <c r="E58"/>
      <c r="F58"/>
      <c r="G58"/>
      <c r="H58" s="0">
        <f>H57+C58-D58-F58-G58</f>
        <v>104</v>
      </c>
      <c r="I58"/>
      <c r="J58"/>
    </row>
    <row r="59">
      <c r="A59"/>
      <c r="B59" t="str">
        <v>Cash Flow (Sanaa)</v>
      </c>
      <c r="C59"/>
      <c r="D59"/>
      <c r="E59"/>
      <c r="F59">
        <v>1000</v>
      </c>
      <c r="G59"/>
      <c r="H59">
        <f>H58+C59-D59-F59-G59</f>
        <v>-896</v>
      </c>
      <c r="I59"/>
      <c r="J59"/>
    </row>
    <row r="60">
      <c r="A60"/>
      <c r="B60"/>
      <c r="C60"/>
      <c r="D60"/>
      <c r="E60"/>
      <c r="F60"/>
      <c r="G60"/>
      <c r="H60">
        <f>H59+C60-D60-F60-G60</f>
        <v>-896</v>
      </c>
      <c r="I60"/>
      <c r="J60"/>
    </row>
    <row r="61">
      <c r="A61" t="str">
        <v>9-8-2026</v>
      </c>
      <c r="B61" t="str">
        <v>Walk-in Today: Cash In USD</v>
      </c>
      <c r="C61">
        <v>415</v>
      </c>
      <c r="D61"/>
      <c r="E61"/>
      <c r="F61"/>
      <c r="G61"/>
      <c r="H61" s="0">
        <f>H60+C61-D61-F61-G61</f>
        <v>-481</v>
      </c>
      <c r="I61"/>
      <c r="J61"/>
    </row>
    <row r="62">
      <c r="A62"/>
      <c r="B62" t="str">
        <v>Stephanie Jalwan </v>
      </c>
      <c r="C62">
        <v>860</v>
      </c>
      <c r="D62"/>
      <c r="E62"/>
      <c r="F62"/>
      <c r="G62"/>
      <c r="H62">
        <f>H61+C62-D62-F62-G62</f>
        <v>379</v>
      </c>
      <c r="I62"/>
      <c r="J62"/>
    </row>
    <row r="63">
      <c r="A63"/>
      <c r="B63" t="str">
        <v>Eva Maalouly </v>
      </c>
      <c r="C63"/>
      <c r="D63">
        <v>22</v>
      </c>
      <c r="E63"/>
      <c r="F63"/>
      <c r="G63"/>
      <c r="H63" s="0">
        <f>H62+C63-D63-F63-G63</f>
        <v>357</v>
      </c>
      <c r="I63"/>
      <c r="J63"/>
    </row>
    <row r="64">
      <c r="A64"/>
      <c r="B64" t="str">
        <v>Storium </v>
      </c>
      <c r="C64"/>
      <c r="D64">
        <v>38</v>
      </c>
      <c r="E64"/>
      <c r="F64"/>
      <c r="G64"/>
      <c r="H64">
        <f>H63+C64-D64-F64-G64</f>
        <v>319</v>
      </c>
      <c r="I64"/>
      <c r="J64"/>
    </row>
    <row r="65">
      <c r="A65"/>
      <c r="B65" t="str">
        <v>Citern Water </v>
      </c>
      <c r="C65"/>
      <c r="D65">
        <v>85</v>
      </c>
      <c r="E65"/>
      <c r="F65"/>
      <c r="G65"/>
      <c r="H65" s="0">
        <f>H64+C65-D65-F65-G65</f>
        <v>234</v>
      </c>
      <c r="I65"/>
      <c r="J65"/>
    </row>
    <row r="66">
      <c r="A66"/>
      <c r="B66" t="str">
        <v>Boucherie Ziad Burgers Kebbe (For # Birthdays)</v>
      </c>
      <c r="C66"/>
      <c r="D66">
        <v>58</v>
      </c>
      <c r="E66"/>
      <c r="F66"/>
      <c r="G66"/>
      <c r="H66">
        <f>H65+C66-D66-F66-G66</f>
        <v>176</v>
      </c>
      <c r="I66"/>
      <c r="J66"/>
    </row>
    <row r="67">
      <c r="A67"/>
      <c r="B67" t="str">
        <v>Nour Haybe </v>
      </c>
      <c r="C67"/>
      <c r="D67">
        <v>26</v>
      </c>
      <c r="E67"/>
      <c r="F67"/>
      <c r="G67"/>
      <c r="H67" s="0">
        <f>H66+C67-D67-F67-G67</f>
        <v>150</v>
      </c>
      <c r="I67"/>
      <c r="J67"/>
    </row>
    <row r="68">
      <c r="A68"/>
      <c r="B68" t="str">
        <v>Fresh &amp; More </v>
      </c>
      <c r="C68"/>
      <c r="D68">
        <v>17</v>
      </c>
      <c r="E68"/>
      <c r="F68"/>
      <c r="G68"/>
      <c r="H68">
        <f>H67+C68-D68-F68-G68</f>
        <v>133</v>
      </c>
      <c r="I68"/>
      <c r="J68"/>
    </row>
    <row r="69">
      <c r="A69"/>
      <c r="B69" t="str">
        <v>Miro Salary </v>
      </c>
      <c r="C69"/>
      <c r="D69">
        <v>600</v>
      </c>
      <c r="E69"/>
      <c r="F69"/>
      <c r="G69"/>
      <c r="H69" s="0">
        <f>H68+C69-D69-F69-G69</f>
        <v>-467</v>
      </c>
      <c r="I69"/>
      <c r="J69"/>
    </row>
    <row r="70">
      <c r="A70"/>
      <c r="B70" t="str">
        <v>Cash Flow (Sanaa)</v>
      </c>
      <c r="C70"/>
      <c r="D70"/>
      <c r="E70"/>
      <c r="F70">
        <v>350</v>
      </c>
      <c r="G70"/>
      <c r="H70">
        <f>H69+C70-D70-F70-G70</f>
        <v>-817</v>
      </c>
      <c r="I70"/>
      <c r="J70"/>
    </row>
    <row r="71">
      <c r="A71" t="str">
        <v>12-8-2026</v>
      </c>
      <c r="B71" t="str">
        <v>Walk-in Today: Cash In USD</v>
      </c>
      <c r="C71">
        <v>820</v>
      </c>
      <c r="D71"/>
      <c r="E71"/>
      <c r="F71"/>
      <c r="G71"/>
      <c r="H71" s="0">
        <f>H70+C71-D71-F71-G71</f>
        <v>3</v>
      </c>
      <c r="I71"/>
      <c r="J71"/>
    </row>
    <row r="72">
      <c r="A72"/>
      <c r="B72" t="str">
        <v>Janette Alam D.P Birthday 26-8</v>
      </c>
      <c r="C72"/>
      <c r="D72"/>
      <c r="E72"/>
      <c r="F72"/>
      <c r="G72">
        <v>200</v>
      </c>
      <c r="H72">
        <f>H71+C72-D72-F72-G72</f>
        <v>-197</v>
      </c>
      <c r="I72"/>
      <c r="J72"/>
    </row>
    <row r="73">
      <c r="A73"/>
      <c r="B73" t="str">
        <v>Joanna Abdo D.P Birthday 19-9</v>
      </c>
      <c r="C73"/>
      <c r="D73"/>
      <c r="E73"/>
      <c r="F73"/>
      <c r="G73">
        <v>200</v>
      </c>
      <c r="H73" s="0">
        <f>H72+C73-D73-F73-G73</f>
        <v>-397</v>
      </c>
      <c r="I73"/>
      <c r="J73"/>
    </row>
    <row r="74">
      <c r="A74"/>
      <c r="B74" t="str">
        <v>Le Marchet Selectif </v>
      </c>
      <c r="C74"/>
      <c r="D74">
        <v>102</v>
      </c>
      <c r="E74"/>
      <c r="F74"/>
      <c r="G74"/>
      <c r="H74">
        <f>H73+C74-D74-F74-G74</f>
        <v>-499</v>
      </c>
      <c r="I74"/>
      <c r="J74"/>
    </row>
    <row r="75">
      <c r="A75"/>
      <c r="B75" t="str">
        <v>La Valeur Kitchen</v>
      </c>
      <c r="C75"/>
      <c r="D75">
        <v>163</v>
      </c>
      <c r="E75"/>
      <c r="F75"/>
      <c r="G75"/>
      <c r="H75" s="0">
        <f>H74+C75-D75-F75-G75</f>
        <v>-662</v>
      </c>
      <c r="I75"/>
      <c r="J75"/>
    </row>
    <row r="76">
      <c r="A76"/>
      <c r="B76" t="str">
        <v>LA valeur Fruits </v>
      </c>
      <c r="C76"/>
      <c r="D76">
        <v>35</v>
      </c>
      <c r="E76"/>
      <c r="F76"/>
      <c r="G76"/>
      <c r="H76">
        <f>H75+C76-D76-F76-G76</f>
        <v>-697</v>
      </c>
      <c r="I76"/>
      <c r="J76"/>
    </row>
    <row r="77">
      <c r="A77"/>
      <c r="B77" t="str">
        <v>Eva Maalouly</v>
      </c>
      <c r="C77"/>
      <c r="D77">
        <v>18</v>
      </c>
      <c r="E77"/>
      <c r="F77"/>
      <c r="G77"/>
      <c r="H77" s="0">
        <f>H76+C77-D77-F77-G77</f>
        <v>-715</v>
      </c>
      <c r="I77"/>
      <c r="J77"/>
    </row>
    <row r="78">
      <c r="A78"/>
      <c r="B78" t="str">
        <v>Cynthia </v>
      </c>
      <c r="C78"/>
      <c r="D78">
        <v>20</v>
      </c>
      <c r="E78"/>
      <c r="F78"/>
      <c r="G78"/>
      <c r="H78">
        <f>H77+C78-D78-F78-G78</f>
        <v>-735</v>
      </c>
      <c r="I78" t="str">
        <v/>
      </c>
      <c r="J78"/>
    </row>
    <row r="79">
      <c r="A79"/>
      <c r="B79" t="str">
        <v>Rim Water </v>
      </c>
      <c r="C79"/>
      <c r="D79">
        <v>127</v>
      </c>
      <c r="E79"/>
      <c r="F79"/>
      <c r="G79"/>
      <c r="H79" s="0">
        <f>H78+C79-D79-F79-G79</f>
        <v>-862</v>
      </c>
      <c r="I79"/>
      <c r="J79"/>
    </row>
    <row r="80">
      <c r="A80"/>
      <c r="B80" t="str">
        <v>Nchara For Farm</v>
      </c>
      <c r="C80"/>
      <c r="D80">
        <v>12</v>
      </c>
      <c r="E80"/>
      <c r="F80"/>
      <c r="G80"/>
      <c r="H80">
        <f>H79+C80-D80-F80-G80</f>
        <v>-874</v>
      </c>
      <c r="I80"/>
      <c r="J80"/>
    </row>
    <row r="81">
      <c r="A81"/>
      <c r="B81" t="str">
        <v>Charbel Ghostin</v>
      </c>
      <c r="C81"/>
      <c r="D81">
        <v>150</v>
      </c>
      <c r="E81"/>
      <c r="F81"/>
      <c r="G81"/>
      <c r="H81" s="0">
        <f>H80+C81-D81-F81-G81</f>
        <v>-1024</v>
      </c>
      <c r="I81"/>
      <c r="J81"/>
    </row>
    <row r="82">
      <c r="A82"/>
      <c r="B82" t="str">
        <v>Marleine Advance On salary August</v>
      </c>
      <c r="C82"/>
      <c r="D82">
        <v>150</v>
      </c>
      <c r="E82"/>
      <c r="F82"/>
      <c r="G82"/>
      <c r="H82">
        <f>H81+C82-D82-F82-G82</f>
        <v>-1174</v>
      </c>
      <c r="I82"/>
      <c r="J82"/>
    </row>
    <row r="83">
      <c r="A83" t="str">
        <v>14-8-2026</v>
      </c>
      <c r="B83" t="str">
        <v>Walk-in Today: Cash In USD</v>
      </c>
      <c r="C83">
        <v>368</v>
      </c>
      <c r="D83"/>
      <c r="E83"/>
      <c r="F83"/>
      <c r="G83"/>
      <c r="H83" s="0">
        <f>H82+C83-D83-F83-G83</f>
        <v>-806</v>
      </c>
      <c r="I83"/>
      <c r="J83"/>
    </row>
    <row r="84">
      <c r="A84"/>
      <c r="B84" t="str">
        <v>Gaelle Abi Mansour D.P Birthday 13-9</v>
      </c>
      <c r="C84"/>
      <c r="D84"/>
      <c r="E84"/>
      <c r="F84"/>
      <c r="G84">
        <v>300</v>
      </c>
      <c r="H84">
        <f>H83+C84-D84-F84-G84</f>
        <v>-1106</v>
      </c>
      <c r="I84"/>
      <c r="J84"/>
    </row>
    <row r="85">
      <c r="A85"/>
      <c r="B85" t="str">
        <v>Boucherie Ziad </v>
      </c>
      <c r="C85"/>
      <c r="D85">
        <v>19</v>
      </c>
      <c r="E85"/>
      <c r="F85"/>
      <c r="G85"/>
      <c r="H85" s="0">
        <f>H84+C85-D85-F85-G85</f>
        <v>-1125</v>
      </c>
      <c r="I85"/>
      <c r="J85"/>
    </row>
    <row r="86">
      <c r="A86"/>
      <c r="B86" t="str">
        <v>Nour Haybe </v>
      </c>
      <c r="C86"/>
      <c r="D86">
        <v>24</v>
      </c>
      <c r="E86"/>
      <c r="F86"/>
      <c r="G86"/>
      <c r="H86">
        <f>H85+C86-D86-F86-G86</f>
        <v>-1149</v>
      </c>
      <c r="I86"/>
      <c r="J86"/>
    </row>
    <row r="87">
      <c r="A87"/>
      <c r="B87" t="str">
        <v>Eva Maalouly </v>
      </c>
      <c r="C87"/>
      <c r="D87">
        <v>18</v>
      </c>
      <c r="E87"/>
      <c r="F87"/>
      <c r="G87"/>
      <c r="H87" s="0">
        <f>H86+C87-D87-F87-G87</f>
        <v>-1167</v>
      </c>
      <c r="I87"/>
      <c r="J87"/>
    </row>
    <row r="88">
      <c r="A88"/>
      <c r="B88" t="str">
        <v>Librarie Mallah (Flufy Clay, Peinture)</v>
      </c>
      <c r="C88"/>
      <c r="D88">
        <v>100</v>
      </c>
      <c r="E88"/>
      <c r="F88"/>
      <c r="G88"/>
      <c r="H88">
        <f>H87+C88-D88-F88-G88</f>
        <v>-1267</v>
      </c>
      <c r="I88"/>
      <c r="J88"/>
    </row>
    <row r="89">
      <c r="A89"/>
      <c r="B89" t="str">
        <v>Cash Flow (Sanaa) Via Wishe </v>
      </c>
      <c r="C89"/>
      <c r="D89"/>
      <c r="E89"/>
      <c r="F89">
        <v>180</v>
      </c>
      <c r="G89"/>
      <c r="H89" s="0">
        <f>H88+C89-D89-F89-G89</f>
        <v>-1447</v>
      </c>
      <c r="I89"/>
      <c r="J89"/>
    </row>
    <row r="90">
      <c r="A90"/>
      <c r="B90"/>
      <c r="C90"/>
      <c r="D90"/>
      <c r="E90"/>
      <c r="F90"/>
      <c r="G90"/>
      <c r="H90" s="0">
        <f>H89+C90-D90-F90-G90</f>
        <v>-1447</v>
      </c>
      <c r="I90"/>
      <c r="J90"/>
    </row>
    <row r="91">
      <c r="A91" t="str">
        <v>15-8-2026</v>
      </c>
      <c r="B91" t="str">
        <v>Walk-in Today: Cash In USD</v>
      </c>
      <c r="C91">
        <v>112</v>
      </c>
      <c r="D91"/>
      <c r="E91"/>
      <c r="F91"/>
      <c r="G91"/>
      <c r="H91">
        <f>H90+C91-D91-F91-G91</f>
        <v>-1335</v>
      </c>
      <c r="I91"/>
      <c r="J91"/>
    </row>
    <row r="92">
      <c r="A92"/>
      <c r="B92" t="str">
        <v>Fares Tahan Birthday </v>
      </c>
      <c r="C92">
        <v>723</v>
      </c>
      <c r="D92"/>
      <c r="E92"/>
      <c r="F92"/>
      <c r="G92"/>
      <c r="H92" s="0">
        <f>H91+C92-D92-F92-G92</f>
        <v>-612</v>
      </c>
      <c r="I92"/>
      <c r="J92"/>
    </row>
    <row r="93">
      <c r="A93"/>
      <c r="B93" t="str">
        <v>Le Marchet Selectif ( Fa7em Ice water ,,,,)For Birthday </v>
      </c>
      <c r="C93"/>
      <c r="D93">
        <v>100</v>
      </c>
      <c r="E93"/>
      <c r="F93"/>
      <c r="G93"/>
      <c r="H93">
        <f>H92+C93-D93-F93-G93</f>
        <v>-712</v>
      </c>
      <c r="I93"/>
      <c r="J93"/>
    </row>
    <row r="94">
      <c r="A94"/>
      <c r="B94" t="str">
        <v>Citern Water Littke Hands</v>
      </c>
      <c r="C94"/>
      <c r="D94">
        <v>80</v>
      </c>
      <c r="E94"/>
      <c r="F94"/>
      <c r="G94"/>
      <c r="H94" s="0">
        <f>H93+C94-D94-F94-G94</f>
        <v>-792</v>
      </c>
      <c r="I94"/>
      <c r="J94"/>
    </row>
    <row r="95">
      <c r="A95"/>
      <c r="B95" t="str">
        <v>Fruits &amp; Vegetables For Birthday 15-8</v>
      </c>
      <c r="C95"/>
      <c r="D95">
        <v>12</v>
      </c>
      <c r="E95"/>
      <c r="F95"/>
      <c r="G95"/>
      <c r="H95">
        <f>H94+C95-D95-F95-G95</f>
        <v>-804</v>
      </c>
      <c r="I95"/>
      <c r="J95"/>
    </row>
    <row r="96">
      <c r="A96"/>
      <c r="B96" t="str">
        <v>Moteur </v>
      </c>
      <c r="C96"/>
      <c r="D96">
        <v>310</v>
      </c>
      <c r="E96"/>
      <c r="F96"/>
      <c r="G96"/>
      <c r="H96" s="0">
        <f>H95+C96-D96-F96-G96</f>
        <v>-1114</v>
      </c>
      <c r="I96"/>
      <c r="J96"/>
    </row>
    <row r="97">
      <c r="A97"/>
      <c r="B97" t="str">
        <v>Storium Food Birthday Today</v>
      </c>
      <c r="C97"/>
      <c r="D97">
        <v>55</v>
      </c>
      <c r="E97"/>
      <c r="F97"/>
      <c r="G97"/>
      <c r="H97">
        <f>H96+C97-D97-F97-G97</f>
        <v>-1169</v>
      </c>
      <c r="I97"/>
      <c r="J97"/>
    </row>
    <row r="98">
      <c r="A98"/>
      <c r="B98" t="str">
        <v>Spinneys Food Birtjday Today </v>
      </c>
      <c r="C98"/>
      <c r="D98">
        <v>115</v>
      </c>
      <c r="E98"/>
      <c r="F98"/>
      <c r="G98"/>
      <c r="H98" s="0">
        <f>H97+C98-D98-F98-G98</f>
        <v>-1284</v>
      </c>
      <c r="I98"/>
      <c r="J98"/>
    </row>
    <row r="99">
      <c r="A99"/>
      <c r="B99" t="str">
        <v>Nour Haybe </v>
      </c>
      <c r="C99"/>
      <c r="D99">
        <v>28</v>
      </c>
      <c r="E99"/>
      <c r="F99"/>
      <c r="G99"/>
      <c r="H99">
        <f>H98+C99-D99-F99-G99</f>
        <v>-1312</v>
      </c>
      <c r="I99"/>
      <c r="J99"/>
    </row>
    <row r="100">
      <c r="A100"/>
      <c r="B100" t="str">
        <v>Eva Maalouly</v>
      </c>
      <c r="C100"/>
      <c r="D100">
        <v>25</v>
      </c>
      <c r="E100"/>
      <c r="F100"/>
      <c r="G100"/>
      <c r="H100" s="0">
        <f>H99+C100-D100-F100-G100</f>
        <v>-1337</v>
      </c>
      <c r="I100"/>
      <c r="J100"/>
    </row>
    <row r="101">
      <c r="A101"/>
      <c r="B101" t="str">
        <v>Cash Flow (Sanaa)</v>
      </c>
      <c r="C101"/>
      <c r="D101"/>
      <c r="E101"/>
      <c r="F101">
        <v>300</v>
      </c>
      <c r="G101"/>
      <c r="H101">
        <f>H100+C101-D101-F101-G101</f>
        <v>-1637</v>
      </c>
      <c r="I101"/>
      <c r="J101"/>
    </row>
    <row r="102">
      <c r="A102" t="str">
        <v>16-8-2026</v>
      </c>
      <c r="B102" t="str">
        <v>Walk -In</v>
      </c>
      <c r="C102">
        <f>'16-8-2026'!E5</f>
        <v>154.25</v>
      </c>
      <c r="D102"/>
      <c r="E102"/>
      <c r="F102"/>
      <c r="G102"/>
      <c r="H102" s="0">
        <f>H101+C102-D102-F102-G102</f>
        <v>-1482.75</v>
      </c>
      <c r="I102"/>
      <c r="J102"/>
    </row>
    <row r="103">
      <c r="A103"/>
      <c r="B103"/>
      <c r="C103"/>
      <c r="D103"/>
      <c r="E103"/>
      <c r="F103"/>
      <c r="G103"/>
      <c r="H103" s="0">
        <f>H102+C103-D103-F103-G103</f>
        <v>-1482.75</v>
      </c>
      <c r="I103"/>
      <c r="J103"/>
    </row>
    <row r="104">
      <c r="A104" t="str">
        <v>17-8-2026</v>
      </c>
      <c r="B104" t="str">
        <v>Colinie Classes Orange </v>
      </c>
      <c r="C104">
        <v>360</v>
      </c>
      <c r="D104"/>
      <c r="E104"/>
      <c r="F104"/>
      <c r="G104"/>
      <c r="H104">
        <f>H103+C104-D104-F104-G104</f>
        <v>-1122.75</v>
      </c>
      <c r="I104"/>
      <c r="J104"/>
    </row>
    <row r="105">
      <c r="A105"/>
      <c r="B105" t="str">
        <v>Krystelle D.P Birthday 18-8-2026</v>
      </c>
      <c r="C105"/>
      <c r="D105"/>
      <c r="E105"/>
      <c r="F105"/>
      <c r="G105">
        <v>200</v>
      </c>
      <c r="H105" s="0">
        <f>H104+C105-D105-F105-G105</f>
        <v>-1322.75</v>
      </c>
      <c r="I105"/>
      <c r="J105"/>
    </row>
    <row r="106">
      <c r="A106"/>
      <c r="B106" t="str">
        <v>Le Marchet Selectif ( kitchen &amp; Orange )</v>
      </c>
      <c r="C106"/>
      <c r="D106">
        <v>100</v>
      </c>
      <c r="E106"/>
      <c r="F106"/>
      <c r="G106"/>
      <c r="H106">
        <f>H105+C106-D106-F106-G106</f>
        <v>-1422.75</v>
      </c>
      <c r="I106"/>
      <c r="J106"/>
    </row>
    <row r="107">
      <c r="A107"/>
      <c r="B107" t="str">
        <v>Thaer Benzin </v>
      </c>
      <c r="C107"/>
      <c r="D107">
        <v>40</v>
      </c>
      <c r="E107"/>
      <c r="F107"/>
      <c r="G107"/>
      <c r="H107" s="0">
        <f>H106+C107-D107-F107-G107</f>
        <v>-1462.75</v>
      </c>
      <c r="I107"/>
      <c r="J107"/>
    </row>
    <row r="108">
      <c r="A108"/>
      <c r="B108" t="str">
        <v>Manakich (Old Invoice )</v>
      </c>
      <c r="C108"/>
      <c r="D108">
        <v>47</v>
      </c>
      <c r="E108"/>
      <c r="F108"/>
      <c r="G108"/>
      <c r="H108">
        <f>H107+C108-D108-F108-G108</f>
        <v>-1509.75</v>
      </c>
      <c r="I108"/>
      <c r="J108"/>
    </row>
    <row r="109">
      <c r="A109"/>
      <c r="B109" t="str">
        <v>Cash Flow (Sanaa)</v>
      </c>
      <c r="C109"/>
      <c r="D109"/>
      <c r="E109"/>
      <c r="F109">
        <v>200</v>
      </c>
      <c r="G109"/>
      <c r="H109" s="0">
        <f>H108+C109-D109-F109-G109</f>
        <v>-1709.75</v>
      </c>
      <c r="I109"/>
      <c r="J109"/>
    </row>
    <row r="110">
      <c r="A110" t="str">
        <v>18-8-2026</v>
      </c>
      <c r="B110" t="str">
        <v>Biirthday Krystelle </v>
      </c>
      <c r="C110">
        <v>717</v>
      </c>
      <c r="D110"/>
      <c r="E110"/>
      <c r="F110"/>
      <c r="G110"/>
      <c r="H110">
        <f>H109+C110-D110-F110-G110</f>
        <v>-992.75</v>
      </c>
      <c r="I110"/>
      <c r="J110"/>
    </row>
    <row r="111">
      <c r="A111"/>
      <c r="B111" t="str">
        <v>Karam Bake Birthday 18-8</v>
      </c>
      <c r="C111"/>
      <c r="D111"/>
      <c r="E111">
        <v>57</v>
      </c>
      <c r="F111"/>
      <c r="G111"/>
      <c r="H111">
        <f>H110+C111-D111-F111-G111</f>
        <v>-992.75</v>
      </c>
      <c r="I111"/>
      <c r="J111"/>
    </row>
    <row r="112">
      <c r="A112"/>
      <c r="B112" t="str">
        <v>Boucherie Ziad ( Kebbe &amp; Burgers)</v>
      </c>
      <c r="C112"/>
      <c r="D112"/>
      <c r="E112">
        <v>143</v>
      </c>
      <c r="F112"/>
      <c r="G112"/>
      <c r="H112">
        <f>H111+C112-D112-F112-G112</f>
        <v>-992.75</v>
      </c>
      <c r="I112"/>
      <c r="J112"/>
    </row>
    <row r="113">
      <c r="A113"/>
      <c r="B113" t="str">
        <v>Nour Haybe</v>
      </c>
      <c r="C113"/>
      <c r="D113">
        <v>24</v>
      </c>
      <c r="E113"/>
      <c r="F113"/>
      <c r="G113"/>
      <c r="H113" s="0">
        <f>H112+C113-D113-F113-G113</f>
        <v>-1016.75</v>
      </c>
      <c r="I113"/>
      <c r="J113"/>
    </row>
    <row r="114">
      <c r="A114"/>
      <c r="B114" t="str">
        <v>Spinneys Bar Workshop</v>
      </c>
      <c r="C114"/>
      <c r="D114">
        <v>38</v>
      </c>
      <c r="E114"/>
      <c r="F114"/>
      <c r="G114"/>
      <c r="H114">
        <f>H113+C114-D114-F114-G114</f>
        <v>-1054.75</v>
      </c>
      <c r="I114"/>
      <c r="J114"/>
    </row>
    <row r="115">
      <c r="A115"/>
      <c r="B115" t="str">
        <v>Spinneys Kitchen Workshop Hygiene</v>
      </c>
      <c r="C115"/>
      <c r="D115">
        <v>69.21</v>
      </c>
      <c r="E115"/>
      <c r="F115"/>
      <c r="G115"/>
      <c r="H115" s="0">
        <f>H114+C115-D115-F115-G115</f>
        <v>-1123.96</v>
      </c>
      <c r="I115"/>
      <c r="J115"/>
    </row>
    <row r="116">
      <c r="A116"/>
      <c r="B116" t="str">
        <v>Spinneys Kitchen Workshop</v>
      </c>
      <c r="C116"/>
      <c r="D116">
        <v>56</v>
      </c>
      <c r="E116"/>
      <c r="F116"/>
      <c r="G116"/>
      <c r="H116">
        <f>H115+C116-D116-F116-G116</f>
        <v>-1179.96</v>
      </c>
      <c r="I116"/>
      <c r="J116"/>
    </row>
    <row r="117">
      <c r="A117"/>
      <c r="B117" t="str">
        <v>Cash Flow (Sanaa)</v>
      </c>
      <c r="C117"/>
      <c r="D117"/>
      <c r="E117"/>
      <c r="F117">
        <v>500</v>
      </c>
      <c r="G117"/>
      <c r="H117" s="0">
        <f>H116+C117-D117-F117-G117</f>
        <v>-1679.96</v>
      </c>
      <c r="I117"/>
      <c r="J117"/>
    </row>
    <row r="118">
      <c r="A118" t="str">
        <v>21-8-2026</v>
      </c>
      <c r="B118" t="str">
        <v>Walk-in Today: Cash In USD</v>
      </c>
      <c r="C118">
        <v>538</v>
      </c>
      <c r="D118"/>
      <c r="E118"/>
      <c r="F118"/>
      <c r="G118"/>
      <c r="H118">
        <f>H117+C118-D118-F118-G118</f>
        <v>-1141.96</v>
      </c>
      <c r="I118"/>
      <c r="J118"/>
    </row>
    <row r="119">
      <c r="A119"/>
      <c r="B119" t="str">
        <v>Sarine demak D.P Birthday</v>
      </c>
      <c r="C119"/>
      <c r="D119"/>
      <c r="E119"/>
      <c r="F119"/>
      <c r="G119">
        <v>300</v>
      </c>
      <c r="H119" s="0">
        <f>H118+C119-D119-F119-G119</f>
        <v>-1441.96</v>
      </c>
      <c r="I119"/>
      <c r="J119"/>
    </row>
    <row r="120">
      <c r="A120"/>
      <c r="B120" t="str">
        <v>Cynthia kreidy D.P Birthday</v>
      </c>
      <c r="C120"/>
      <c r="D120"/>
      <c r="E120"/>
      <c r="F120"/>
      <c r="G120">
        <v>300</v>
      </c>
      <c r="H120">
        <f>H119+C120-D120-F120-G120</f>
        <v>-1741.96</v>
      </c>
      <c r="I120"/>
      <c r="J120"/>
    </row>
    <row r="121">
      <c r="A121"/>
      <c r="B121" t="str">
        <v>Le Marchet Selectif (Old Invoices)</v>
      </c>
      <c r="C121"/>
      <c r="D121">
        <v>105</v>
      </c>
      <c r="E121"/>
      <c r="F121"/>
      <c r="G121"/>
      <c r="H121" s="0">
        <f>H120+C121-D121-F121-G121</f>
        <v>-1846.96</v>
      </c>
      <c r="I121"/>
      <c r="J121"/>
    </row>
    <row r="122">
      <c r="A122"/>
      <c r="B122" t="str">
        <v>Thaer Benzin</v>
      </c>
      <c r="C122"/>
      <c r="D122">
        <v>40</v>
      </c>
      <c r="E122"/>
      <c r="F122"/>
      <c r="G122"/>
      <c r="H122">
        <f>H121+C122-D122-F122-G122</f>
        <v>-1886.96</v>
      </c>
      <c r="I122"/>
      <c r="J122"/>
    </row>
    <row r="123">
      <c r="A123"/>
      <c r="B123" t="str">
        <v>Manakich</v>
      </c>
      <c r="C123"/>
      <c r="D123">
        <v>7</v>
      </c>
      <c r="E123"/>
      <c r="F123"/>
      <c r="G123"/>
      <c r="H123" s="0">
        <f>H122+C123-D123-F123-G123</f>
        <v>-1893.96</v>
      </c>
      <c r="I123"/>
      <c r="J123"/>
    </row>
    <row r="124">
      <c r="A124"/>
      <c r="B124" t="str">
        <v>Saab Doctors vet ( Dawa, Makanet 7le2a)</v>
      </c>
      <c r="C124"/>
      <c r="D124">
        <v>100</v>
      </c>
      <c r="E124"/>
      <c r="F124"/>
      <c r="G124"/>
      <c r="H124">
        <f>H123+C124-D124-F124-G124</f>
        <v>-1993.96</v>
      </c>
      <c r="I124"/>
      <c r="J124"/>
    </row>
    <row r="125">
      <c r="A125"/>
      <c r="B125" t="str">
        <v>Cash Flow (Sanaa)</v>
      </c>
      <c r="C125"/>
      <c r="D125"/>
      <c r="E125"/>
      <c r="F125">
        <v>200</v>
      </c>
      <c r="G125"/>
      <c r="H125" s="0">
        <f>H124+C125-D125-F125-G125</f>
        <v>-2193.96</v>
      </c>
      <c r="I125"/>
      <c r="J125"/>
    </row>
    <row r="126">
      <c r="A126" t="str">
        <v>22-8-2026</v>
      </c>
      <c r="B126" t="str">
        <v>Water Citern Little Hands </v>
      </c>
      <c r="C126"/>
      <c r="D126">
        <v>80</v>
      </c>
      <c r="E126"/>
      <c r="F126"/>
      <c r="G126"/>
      <c r="H126">
        <f>H125+C126-D126-F126-G126</f>
        <v>-2273.96</v>
      </c>
      <c r="I126"/>
      <c r="J126"/>
    </row>
    <row r="127">
      <c r="A127"/>
      <c r="B127" t="str">
        <v>Boucherie Ziad Kebbe Burgers </v>
      </c>
      <c r="C127"/>
      <c r="D127">
        <v>17</v>
      </c>
      <c r="E127"/>
      <c r="F127"/>
      <c r="G127"/>
      <c r="H127" s="0">
        <f>H126+C127-D127-F127-G127</f>
        <v>-2290.96</v>
      </c>
      <c r="I127"/>
      <c r="J127"/>
    </row>
    <row r="128">
      <c r="A128"/>
      <c r="B128" t="str">
        <v>Emdedet Water </v>
      </c>
      <c r="C128"/>
      <c r="D128">
        <v>200</v>
      </c>
      <c r="E128"/>
      <c r="F128"/>
      <c r="G128"/>
      <c r="H128">
        <f>H127+C128-D128-F128-G128</f>
        <v>-2490.96</v>
      </c>
      <c r="I128"/>
      <c r="J128"/>
    </row>
    <row r="129">
      <c r="A129"/>
      <c r="B129" t="str">
        <v>Eva </v>
      </c>
      <c r="C129"/>
      <c r="D129">
        <v>21</v>
      </c>
      <c r="E129"/>
      <c r="F129"/>
      <c r="G129"/>
      <c r="H129" s="0">
        <f>H128+C129-D129-F129-G129</f>
        <v>-2511.96</v>
      </c>
      <c r="I129"/>
      <c r="J129"/>
    </row>
    <row r="130">
      <c r="A130"/>
      <c r="B130" t="str">
        <v>Walk-in </v>
      </c>
      <c r="C130">
        <v>294</v>
      </c>
      <c r="D130"/>
      <c r="E130"/>
      <c r="F130"/>
      <c r="G130"/>
      <c r="H130">
        <f>H129+C130-D130-F130-G130</f>
        <v>-2217.96</v>
      </c>
      <c r="I130"/>
      <c r="J130"/>
    </row>
    <row r="131">
      <c r="A131"/>
      <c r="B131" t="str">
        <v>Joe Market Burger Bread </v>
      </c>
      <c r="C131"/>
      <c r="D131">
        <v>10</v>
      </c>
      <c r="E131"/>
      <c r="F131"/>
      <c r="G131"/>
      <c r="H131" s="0">
        <f>H130+C131-D131-F131-G131</f>
        <v>-2227.96</v>
      </c>
      <c r="I131"/>
      <c r="J131"/>
    </row>
    <row r="132">
      <c r="A132" t="str">
        <v>23-8-2026</v>
      </c>
      <c r="B132" t="str">
        <v>Walk-in </v>
      </c>
      <c r="C132">
        <f>'23-8-2026'!E5</f>
        <v>135</v>
      </c>
      <c r="D132"/>
      <c r="E132"/>
      <c r="F132"/>
      <c r="G132"/>
      <c r="H132">
        <f>H131+C132-D132-F132-G132</f>
        <v>-2092.96</v>
      </c>
      <c r="I132"/>
      <c r="J132">
        <v>570</v>
      </c>
    </row>
    <row r="133">
      <c r="A133"/>
      <c r="B133" t="str">
        <v>Joe Market Burger Bread </v>
      </c>
      <c r="C133"/>
      <c r="D133">
        <v>10</v>
      </c>
      <c r="E133"/>
      <c r="F133"/>
      <c r="G133"/>
      <c r="H133" s="0">
        <f>H132+C133-D133-F133-G133</f>
        <v>-2102.96</v>
      </c>
      <c r="I133"/>
      <c r="J133">
        <v>325</v>
      </c>
    </row>
    <row r="134">
      <c r="A134"/>
      <c r="B134" t="str">
        <v>Benzin &amp; Oil Thaer</v>
      </c>
      <c r="C134"/>
      <c r="D134">
        <v>47</v>
      </c>
      <c r="E134"/>
      <c r="F134"/>
      <c r="G134"/>
      <c r="H134">
        <f>H133+C134-D134-F134-G134</f>
        <v>-2149.96</v>
      </c>
      <c r="I134"/>
      <c r="J134">
        <v>65</v>
      </c>
    </row>
    <row r="135">
      <c r="A135"/>
      <c r="B135" t="str">
        <v>Cynthia Working H </v>
      </c>
      <c r="C135"/>
      <c r="D135">
        <v>32</v>
      </c>
      <c r="E135"/>
      <c r="F135"/>
      <c r="G135"/>
      <c r="H135" s="0">
        <f>H134+C135-D135-F135-G135</f>
        <v>-2181.96</v>
      </c>
      <c r="I135"/>
      <c r="J135">
        <v>180</v>
      </c>
    </row>
    <row r="136">
      <c r="A136"/>
      <c r="B136" t="str">
        <v>Stickers Little Hands </v>
      </c>
      <c r="C136"/>
      <c r="D136">
        <v>12</v>
      </c>
      <c r="E136"/>
      <c r="F136"/>
      <c r="G136"/>
      <c r="H136">
        <f>H135+C136-D136-F136-G136</f>
        <v>-2193.96</v>
      </c>
      <c r="I136"/>
      <c r="J136">
        <v>6</v>
      </c>
    </row>
    <row r="137">
      <c r="A137"/>
      <c r="B137" t="str">
        <v>Saleh Plumber ( Mad Khat May )</v>
      </c>
      <c r="C137"/>
      <c r="D137">
        <v>100</v>
      </c>
      <c r="E137"/>
      <c r="F137"/>
      <c r="G137"/>
      <c r="H137" s="0">
        <f>H136+C137-D137-F137-G137</f>
        <v>-2293.96</v>
      </c>
      <c r="I137"/>
      <c r="J137"/>
    </row>
    <row r="138">
      <c r="A138"/>
      <c r="B138"/>
      <c r="C138"/>
      <c r="D138"/>
      <c r="E138"/>
      <c r="F138"/>
      <c r="G138"/>
      <c r="H138" s="0">
        <f>H137+C138-D138-F138-G138</f>
        <v>-2293.96</v>
      </c>
      <c r="I138"/>
      <c r="J138"/>
    </row>
    <row r="139">
      <c r="A139" t="str">
        <v>25-8-2026</v>
      </c>
      <c r="B139" t="str">
        <v>Walk-in </v>
      </c>
      <c r="C139">
        <f>'25-8-2026'!E5</f>
        <v>199</v>
      </c>
      <c r="D139"/>
      <c r="E139"/>
      <c r="F139"/>
      <c r="G139"/>
      <c r="H139">
        <f>H138+C139-D139-F139-G139</f>
        <v>-2094.96</v>
      </c>
      <c r="I139"/>
      <c r="J139"/>
    </row>
    <row r="140">
      <c r="A140"/>
      <c r="B140" t="str">
        <v>Adwat ( Ice Cube )</v>
      </c>
      <c r="C140"/>
      <c r="D140">
        <v>30</v>
      </c>
      <c r="E140"/>
      <c r="F140"/>
      <c r="G140"/>
      <c r="H140" s="0">
        <f>H139+C140-D140-F140-G140</f>
        <v>-2124.96</v>
      </c>
      <c r="I140"/>
      <c r="J140"/>
    </row>
    <row r="141">
      <c r="A141"/>
      <c r="B141" t="str">
        <v>Storium ( Workshop, Kitchen, Bar )</v>
      </c>
      <c r="C141"/>
      <c r="D141">
        <v>21.91</v>
      </c>
      <c r="E141"/>
      <c r="F141"/>
      <c r="G141"/>
      <c r="H141">
        <f>H140+C141-D141-F141-G141</f>
        <v>-2146.87</v>
      </c>
      <c r="I141"/>
      <c r="J141"/>
    </row>
    <row r="142">
      <c r="A142"/>
      <c r="B142" t="str">
        <v>Alaaf For Farm </v>
      </c>
      <c r="C142"/>
      <c r="D142">
        <v>98</v>
      </c>
      <c r="E142"/>
      <c r="F142"/>
      <c r="G142"/>
      <c r="H142" s="0">
        <f>H141+C142-D142-F142-G142</f>
        <v>-2244.87</v>
      </c>
      <c r="I142"/>
      <c r="J142"/>
    </row>
    <row r="143">
      <c r="A143" t="str">
        <v>26-8-2026</v>
      </c>
      <c r="B143" t="str">
        <v>Walk-in Today: Cash In USD</v>
      </c>
      <c r="C143">
        <v>145</v>
      </c>
      <c r="D143"/>
      <c r="E143"/>
      <c r="F143"/>
      <c r="G143"/>
      <c r="H143">
        <f>H142+C143-D143-F143-G143</f>
        <v>-2099.87</v>
      </c>
      <c r="I143"/>
      <c r="J143"/>
    </row>
    <row r="144">
      <c r="A144"/>
      <c r="B144" t="str">
        <v>Summe r Camp Mar Chaaya</v>
      </c>
      <c r="C144">
        <v>240</v>
      </c>
      <c r="D144"/>
      <c r="E144"/>
      <c r="F144"/>
      <c r="G144"/>
      <c r="H144" s="0">
        <f>H143+C144-D144-F144-G144</f>
        <v>-1859.87</v>
      </c>
      <c r="I144"/>
      <c r="J144"/>
    </row>
    <row r="145">
      <c r="A145"/>
      <c r="B145" t="str">
        <v>Janette Alam </v>
      </c>
      <c r="C145">
        <v>511</v>
      </c>
      <c r="D145"/>
      <c r="E145"/>
      <c r="F145"/>
      <c r="G145"/>
      <c r="H145">
        <f>H144+C145-D145-F145-G145</f>
        <v>-1348.87</v>
      </c>
      <c r="I145"/>
      <c r="J145"/>
    </row>
    <row r="146">
      <c r="A146"/>
      <c r="B146" t="str">
        <v>Rim water </v>
      </c>
      <c r="C146"/>
      <c r="D146"/>
      <c r="E146">
        <v>10</v>
      </c>
      <c r="F146"/>
      <c r="G146"/>
      <c r="H146">
        <f>H145+C146-D146-F146-G146</f>
        <v>-1348.87</v>
      </c>
      <c r="I146"/>
      <c r="J146"/>
    </row>
    <row r="147">
      <c r="A147"/>
      <c r="B147" t="str">
        <v>Fruits For Birthday </v>
      </c>
      <c r="C147"/>
      <c r="D147"/>
      <c r="E147">
        <v>21</v>
      </c>
      <c r="F147"/>
      <c r="G147"/>
      <c r="H147">
        <f>H146+C147-D147-F147-G147</f>
        <v>-1348.87</v>
      </c>
      <c r="I147"/>
      <c r="J147"/>
    </row>
    <row r="148">
      <c r="A148"/>
      <c r="B148" t="str">
        <v>Boucherie Ziad Burger </v>
      </c>
      <c r="C148"/>
      <c r="D148"/>
      <c r="E148">
        <v>18</v>
      </c>
      <c r="F148"/>
      <c r="G148"/>
      <c r="H148">
        <f>H147+C148-D148-F148-G148</f>
        <v>-1348.87</v>
      </c>
      <c r="I148"/>
      <c r="J148"/>
    </row>
    <row r="149">
      <c r="A149"/>
      <c r="B149" t="str">
        <v>La Valeur Supermarket</v>
      </c>
      <c r="C149"/>
      <c r="D149"/>
      <c r="E149">
        <v>41</v>
      </c>
      <c r="F149"/>
      <c r="G149"/>
      <c r="H149">
        <f>H148+C149-D149-F149-G149</f>
        <v>-1348.87</v>
      </c>
      <c r="I149"/>
      <c r="J149"/>
    </row>
    <row r="150">
      <c r="A150"/>
      <c r="B150" t="str">
        <v>Karam Bake </v>
      </c>
      <c r="C150"/>
      <c r="D150"/>
      <c r="E150">
        <v>37</v>
      </c>
      <c r="F150"/>
      <c r="G150"/>
      <c r="H150">
        <f>H149+C150-D150-F150-G150</f>
        <v>-1348.87</v>
      </c>
      <c r="I150"/>
      <c r="J150"/>
    </row>
    <row r="151">
      <c r="A151"/>
      <c r="B151" t="str">
        <v>Nour Haybe </v>
      </c>
      <c r="C151"/>
      <c r="D151"/>
      <c r="E151">
        <v>22</v>
      </c>
      <c r="F151"/>
      <c r="G151"/>
      <c r="H151">
        <f>H150+C151-D151-F151-G151</f>
        <v>-1348.87</v>
      </c>
      <c r="I151"/>
      <c r="J151"/>
    </row>
    <row r="152">
      <c r="A152"/>
      <c r="B152" t="str">
        <v>Storium Saliba </v>
      </c>
      <c r="C152"/>
      <c r="D152"/>
      <c r="E152">
        <v>25</v>
      </c>
      <c r="F152"/>
      <c r="G152"/>
      <c r="H152">
        <f>H151+C152-D152-F152-G152</f>
        <v>-1348.87</v>
      </c>
      <c r="I152"/>
      <c r="J152"/>
    </row>
    <row r="153">
      <c r="A153"/>
      <c r="B153" t="str">
        <v>Le Marchet Selectif </v>
      </c>
      <c r="C153"/>
      <c r="D153"/>
      <c r="E153">
        <v>36</v>
      </c>
      <c r="F153"/>
      <c r="G153"/>
      <c r="H153">
        <f>H152+C153-D153-F153-G153</f>
        <v>-1348.87</v>
      </c>
      <c r="I153"/>
      <c r="J153"/>
    </row>
    <row r="154">
      <c r="A154"/>
      <c r="B154" t="str">
        <v>Cash Flow Sanaa </v>
      </c>
      <c r="C154"/>
      <c r="D154"/>
      <c r="E154"/>
      <c r="F154">
        <v>800</v>
      </c>
      <c r="G154"/>
      <c r="H154" s="0">
        <f>H153+C154-D154-F154-G154</f>
        <v>-2148.87</v>
      </c>
      <c r="I154"/>
      <c r="J154"/>
    </row>
    <row r="155">
      <c r="A155" t="str">
        <v>28-6-2026</v>
      </c>
      <c r="B155" t="str">
        <v>Marc Birthday </v>
      </c>
      <c r="C155">
        <v>700</v>
      </c>
      <c r="D155"/>
      <c r="E155"/>
      <c r="F155"/>
      <c r="G155"/>
      <c r="H155">
        <f>H154+C155-D155-F155-G155</f>
        <v>-1448.87</v>
      </c>
      <c r="I155"/>
      <c r="J155"/>
    </row>
    <row r="156">
      <c r="A156"/>
      <c r="B156" t="str">
        <v>Le Marchet Selectif </v>
      </c>
      <c r="C156"/>
      <c r="D156"/>
      <c r="E156">
        <v>80</v>
      </c>
      <c r="F156"/>
      <c r="G156"/>
      <c r="H156">
        <f>H155+C156-D156-F156-G156</f>
        <v>-1448.87</v>
      </c>
      <c r="I156"/>
      <c r="J156"/>
    </row>
    <row r="157">
      <c r="A157"/>
      <c r="B157" t="str">
        <v>Nour Haybe </v>
      </c>
      <c r="C157"/>
      <c r="D157"/>
      <c r="E157">
        <v>21</v>
      </c>
      <c r="F157"/>
      <c r="G157"/>
      <c r="H157">
        <f>H156+C157-D157-F157-G157</f>
        <v>-1448.87</v>
      </c>
      <c r="I157"/>
      <c r="J157"/>
    </row>
    <row r="158">
      <c r="A158"/>
      <c r="B158" t="str">
        <v>Storium Saliba Birthday Kitchen </v>
      </c>
      <c r="C158"/>
      <c r="D158"/>
      <c r="E158">
        <v>61</v>
      </c>
      <c r="F158"/>
      <c r="G158"/>
      <c r="H158">
        <f>H157+C158-D158-F158-G158</f>
        <v>-1448.87</v>
      </c>
      <c r="I158"/>
      <c r="J158"/>
    </row>
    <row r="159">
      <c r="A159"/>
      <c r="B159" t="str">
        <v>Kitchen Fruits </v>
      </c>
      <c r="C159"/>
      <c r="D159"/>
      <c r="E159">
        <v>23</v>
      </c>
      <c r="F159"/>
      <c r="G159"/>
      <c r="H159">
        <f>H158+C159-D159-F159-G159</f>
        <v>-1448.87</v>
      </c>
      <c r="I159"/>
      <c r="J159"/>
    </row>
    <row r="160">
      <c r="A160"/>
      <c r="B160" t="str">
        <v>Boucherie Ziad Burgers </v>
      </c>
      <c r="C160"/>
      <c r="D160"/>
      <c r="E160">
        <v>39</v>
      </c>
      <c r="F160"/>
      <c r="G160"/>
      <c r="H160">
        <f>H159+C160-D160-F160-G160</f>
        <v>-1448.87</v>
      </c>
      <c r="I160"/>
      <c r="J160"/>
    </row>
    <row r="161">
      <c r="A161"/>
      <c r="B161" t="str">
        <v>Boucherie Ziad Burgers </v>
      </c>
      <c r="C161"/>
      <c r="D161"/>
      <c r="E161">
        <v>18</v>
      </c>
      <c r="F161"/>
      <c r="G161"/>
      <c r="H161">
        <f>H160+C161-D161-F161-G161</f>
        <v>-1448.87</v>
      </c>
      <c r="I161"/>
      <c r="J161"/>
    </row>
    <row r="162">
      <c r="A162"/>
      <c r="B162" t="str">
        <v>Sunrise Market Cheese Bhar Tuna</v>
      </c>
      <c r="C162"/>
      <c r="D162"/>
      <c r="E162">
        <v>41</v>
      </c>
      <c r="F162"/>
      <c r="G162"/>
      <c r="H162">
        <f>H161+C162-D162-F162-G162</f>
        <v>-1448.87</v>
      </c>
      <c r="I162"/>
      <c r="J162"/>
    </row>
    <row r="163">
      <c r="A163"/>
      <c r="B163" t="str">
        <v>Cash Flow Sanaa </v>
      </c>
      <c r="C163"/>
      <c r="D163"/>
      <c r="E163"/>
      <c r="F163">
        <v>700</v>
      </c>
      <c r="G163"/>
      <c r="H163" s="0">
        <f>H162+C163-D163-F163-G163</f>
        <v>-2148.87</v>
      </c>
      <c r="I163"/>
      <c r="J163"/>
    </row>
    <row r="164">
      <c r="A164" t="str">
        <v>29-8-2026</v>
      </c>
      <c r="B164" t="str">
        <v>Walk-in Today: Cash In USD</v>
      </c>
      <c r="C164">
        <f>'29-8-2026'!E5</f>
        <v>157</v>
      </c>
      <c r="D164"/>
      <c r="E164"/>
      <c r="F164"/>
      <c r="G164"/>
      <c r="H164">
        <f>H163+C164-D164-F164-G164</f>
        <v>-1991.87</v>
      </c>
      <c r="I164"/>
      <c r="J164"/>
    </row>
    <row r="165">
      <c r="A165"/>
      <c r="B165" t="str">
        <v>Sarine Dekmak</v>
      </c>
      <c r="C165">
        <f>'29-8-2026'!E6</f>
        <v>600</v>
      </c>
      <c r="D165"/>
      <c r="E165"/>
      <c r="F165"/>
      <c r="G165"/>
      <c r="H165" s="0">
        <f>H164+C165-D165-F165-G165</f>
        <v>-1391.87</v>
      </c>
      <c r="I165"/>
      <c r="J165"/>
    </row>
    <row r="166">
      <c r="A166"/>
      <c r="B166" t="str">
        <v>EDL (Little Hands )</v>
      </c>
      <c r="C166"/>
      <c r="D166">
        <v>51</v>
      </c>
      <c r="E166"/>
      <c r="F166"/>
      <c r="G166"/>
      <c r="H166">
        <f>H165+C166-D166-F166-G166</f>
        <v>-1442.87</v>
      </c>
      <c r="I166"/>
      <c r="J166"/>
    </row>
    <row r="167">
      <c r="A167"/>
      <c r="B167" t="str">
        <v>Karam Bake </v>
      </c>
      <c r="C167"/>
      <c r="D167">
        <v>51</v>
      </c>
      <c r="E167"/>
      <c r="F167"/>
      <c r="G167"/>
      <c r="H167" s="0">
        <f>H166+C167-D167-F167-G167</f>
        <v>-1493.87</v>
      </c>
      <c r="I167"/>
      <c r="J167"/>
    </row>
    <row r="168">
      <c r="A168"/>
      <c r="B168" t="str">
        <v>Nour Haybe </v>
      </c>
      <c r="C168"/>
      <c r="D168">
        <v>21</v>
      </c>
      <c r="E168"/>
      <c r="F168"/>
      <c r="G168"/>
      <c r="H168">
        <f>H167+C168-D168-F168-G168</f>
        <v>-1514.87</v>
      </c>
      <c r="I168"/>
      <c r="J168"/>
    </row>
    <row r="169">
      <c r="A169"/>
      <c r="B169" t="str">
        <v>Wissam Mansour Ashwe </v>
      </c>
      <c r="C169"/>
      <c r="D169">
        <v>100</v>
      </c>
      <c r="E169"/>
      <c r="F169"/>
      <c r="G169"/>
      <c r="H169" s="0">
        <f>H168+C169-D169-F169-G169</f>
        <v>-1614.87</v>
      </c>
      <c r="I169"/>
      <c r="J169"/>
    </row>
    <row r="170">
      <c r="A170"/>
      <c r="B170" t="str">
        <v>Mhamad To7fir w Emdedet Water </v>
      </c>
      <c r="C170"/>
      <c r="D170">
        <v>50</v>
      </c>
      <c r="E170"/>
      <c r="F170"/>
      <c r="G170"/>
      <c r="H170">
        <f>H169+C170-D170-F170-G170</f>
        <v>-1664.87</v>
      </c>
      <c r="I170"/>
      <c r="J170"/>
    </row>
    <row r="171">
      <c r="A171"/>
      <c r="B171" t="str">
        <v>Thaer </v>
      </c>
      <c r="C171"/>
      <c r="D171">
        <v>129</v>
      </c>
      <c r="E171"/>
      <c r="F171"/>
      <c r="G171"/>
      <c r="H171" s="0">
        <f>H170+C171-D171-F171-G171</f>
        <v>-1793.87</v>
      </c>
      <c r="I171"/>
      <c r="J171"/>
    </row>
    <row r="172">
      <c r="A172"/>
      <c r="B172" t="str">
        <v>Cash Flow Sanaa </v>
      </c>
      <c r="C172"/>
      <c r="D172"/>
      <c r="E172"/>
      <c r="F172">
        <v>600</v>
      </c>
      <c r="G172"/>
      <c r="H172">
        <f>H171+C172-D172-F172-G172</f>
        <v>-2393.87</v>
      </c>
      <c r="I172"/>
      <c r="J172"/>
    </row>
    <row r="173">
      <c r="A173"/>
      <c r="B173"/>
      <c r="C173"/>
      <c r="D173"/>
      <c r="E173"/>
      <c r="F173"/>
      <c r="G173"/>
      <c r="H173">
        <f>H172+C173-D173-F173-G173</f>
        <v>-2393.87</v>
      </c>
      <c r="I173"/>
      <c r="J173"/>
    </row>
    <row r="174">
      <c r="A174"/>
      <c r="B174"/>
      <c r="C174"/>
      <c r="D174"/>
      <c r="E174"/>
      <c r="F174"/>
      <c r="G174"/>
      <c r="H174">
        <f>H173+C174-D174-F174-G174</f>
        <v>-2393.87</v>
      </c>
      <c r="I174"/>
      <c r="J174"/>
    </row>
    <row r="175">
      <c r="A175"/>
      <c r="B175"/>
      <c r="C175"/>
      <c r="D175"/>
      <c r="E175"/>
      <c r="F175"/>
      <c r="G175"/>
      <c r="H175">
        <f>H174+C175-D175-F175-G175</f>
        <v>-2393.87</v>
      </c>
      <c r="I175"/>
      <c r="J175"/>
    </row>
    <row r="176">
      <c r="A176"/>
      <c r="B176"/>
      <c r="C176"/>
      <c r="D176"/>
      <c r="E176"/>
      <c r="F176"/>
      <c r="G176"/>
      <c r="H176">
        <f>H175+C176-D176-F176-G176</f>
        <v>-2393.87</v>
      </c>
      <c r="I176"/>
      <c r="J176"/>
    </row>
    <row r="177">
      <c r="A177"/>
      <c r="B177"/>
      <c r="C177"/>
      <c r="D177"/>
      <c r="E177"/>
      <c r="F177"/>
      <c r="G177"/>
      <c r="H177">
        <f>H176+C177-D177-F177-G177</f>
        <v>-2393.87</v>
      </c>
      <c r="I177"/>
      <c r="J177"/>
    </row>
    <row r="178">
      <c r="A178"/>
      <c r="B178"/>
      <c r="C178"/>
      <c r="D178"/>
      <c r="E178"/>
      <c r="F178"/>
      <c r="G178"/>
      <c r="H178">
        <f>H177+C178-D178-F178-G178</f>
        <v>-2393.87</v>
      </c>
      <c r="I178"/>
      <c r="J178"/>
    </row>
    <row r="179">
      <c r="A179"/>
      <c r="B179"/>
      <c r="C179"/>
      <c r="D179"/>
      <c r="E179"/>
      <c r="F179"/>
      <c r="G179"/>
      <c r="H179">
        <f>H178+C179-D179-F179-G179</f>
        <v>-2393.87</v>
      </c>
      <c r="I179"/>
      <c r="J179"/>
    </row>
    <row r="180">
      <c r="A180"/>
      <c r="B180"/>
      <c r="C180"/>
      <c r="D180"/>
      <c r="E180"/>
      <c r="F180"/>
      <c r="G180"/>
      <c r="H180">
        <f>H179+C180-D180-F180-G180</f>
        <v>-2393.87</v>
      </c>
      <c r="I180"/>
      <c r="J180"/>
    </row>
    <row r="181">
      <c r="A181"/>
      <c r="B181"/>
      <c r="C181"/>
      <c r="D181"/>
      <c r="E181"/>
      <c r="F181"/>
      <c r="G181"/>
      <c r="H181">
        <f>H180+C181-D181-F181-G181</f>
        <v>-2393.87</v>
      </c>
      <c r="I181"/>
      <c r="J181"/>
    </row>
    <row r="182">
      <c r="A182"/>
      <c r="B182"/>
      <c r="C182"/>
      <c r="D182"/>
      <c r="E182"/>
      <c r="F182"/>
      <c r="G182"/>
      <c r="H182">
        <f>H181+C182-D182-F182-G182</f>
        <v>-2393.87</v>
      </c>
      <c r="I182"/>
      <c r="J182"/>
    </row>
    <row r="183">
      <c r="A183"/>
      <c r="B183"/>
      <c r="C183"/>
      <c r="D183"/>
      <c r="E183"/>
      <c r="F183"/>
      <c r="G183"/>
      <c r="H183">
        <f>H182+C183-D183-F183-G183</f>
        <v>-2393.87</v>
      </c>
      <c r="I183"/>
      <c r="J183"/>
    </row>
    <row r="184">
      <c r="A184"/>
      <c r="B184"/>
      <c r="C184"/>
      <c r="D184"/>
      <c r="E184"/>
      <c r="F184"/>
      <c r="G184"/>
      <c r="H184">
        <f>H183+C184-D184-F184-G184</f>
        <v>-2393.87</v>
      </c>
      <c r="I184"/>
      <c r="J184"/>
    </row>
    <row r="185">
      <c r="A185"/>
      <c r="B185"/>
      <c r="C185"/>
      <c r="D185"/>
      <c r="E185"/>
      <c r="F185"/>
      <c r="G185"/>
      <c r="H185">
        <f>H184+C185-D185-F185-G185</f>
        <v>-2393.87</v>
      </c>
      <c r="I185"/>
      <c r="J185"/>
    </row>
    <row r="186">
      <c r="A186"/>
      <c r="B186"/>
      <c r="C186"/>
      <c r="D186"/>
      <c r="E186"/>
      <c r="F186"/>
      <c r="G186"/>
      <c r="H186">
        <f>H185+C186-D186-F186-G186</f>
        <v>-2393.87</v>
      </c>
      <c r="I186"/>
      <c r="J186"/>
    </row>
    <row r="187">
      <c r="A187"/>
      <c r="B187"/>
      <c r="C187"/>
      <c r="D187"/>
      <c r="E187"/>
      <c r="F187"/>
      <c r="G187"/>
      <c r="H187">
        <f>H186+C187-D187-F187-G187</f>
        <v>-2393.87</v>
      </c>
      <c r="I187"/>
      <c r="J187"/>
    </row>
    <row r="188">
      <c r="A188"/>
      <c r="B188"/>
      <c r="C188"/>
      <c r="D188"/>
      <c r="E188"/>
      <c r="F188"/>
      <c r="G188"/>
      <c r="H188">
        <f>H187+C188-D188-F188-G188</f>
        <v>-2393.87</v>
      </c>
      <c r="I188"/>
      <c r="J188"/>
    </row>
    <row r="189">
      <c r="A189"/>
      <c r="B189"/>
      <c r="C189"/>
      <c r="D189"/>
      <c r="E189"/>
      <c r="F189"/>
      <c r="G189"/>
      <c r="H189">
        <f>H188+C189-D189-F189-G189</f>
        <v>-2393.87</v>
      </c>
      <c r="I189"/>
      <c r="J189"/>
    </row>
    <row r="190">
      <c r="A190"/>
      <c r="B190"/>
      <c r="C190"/>
      <c r="D190"/>
      <c r="E190"/>
      <c r="F190"/>
      <c r="G190"/>
      <c r="H190">
        <f>H189+C190-D190-F190-G190</f>
        <v>-2393.87</v>
      </c>
      <c r="I190"/>
      <c r="J190"/>
    </row>
    <row r="191">
      <c r="A191"/>
      <c r="B191"/>
      <c r="C191"/>
      <c r="D191"/>
      <c r="E191"/>
      <c r="F191"/>
      <c r="G191"/>
      <c r="H191">
        <f>H190+C191-D191-F191-G191</f>
        <v>-2393.87</v>
      </c>
      <c r="I191"/>
      <c r="J191"/>
    </row>
    <row r="192">
      <c r="A192"/>
      <c r="B192"/>
      <c r="C192"/>
      <c r="D192"/>
      <c r="E192"/>
      <c r="F192"/>
      <c r="G192"/>
      <c r="H192">
        <f>H191+C192-D192-F192-G192</f>
        <v>-2393.87</v>
      </c>
      <c r="I192"/>
      <c r="J192"/>
    </row>
    <row r="193">
      <c r="A193"/>
      <c r="B193"/>
      <c r="C193"/>
      <c r="D193"/>
      <c r="E193"/>
      <c r="F193"/>
      <c r="G193"/>
      <c r="H193">
        <f>H192+C193-D193-F193-G193</f>
        <v>-2393.87</v>
      </c>
      <c r="I193"/>
      <c r="J193"/>
    </row>
    <row r="194">
      <c r="A194"/>
      <c r="B194"/>
      <c r="C194"/>
      <c r="D194"/>
      <c r="E194"/>
      <c r="F194"/>
      <c r="G194"/>
      <c r="H194">
        <f>H193+C194-D194-F194-G194</f>
        <v>-2393.87</v>
      </c>
      <c r="I194"/>
      <c r="J194"/>
    </row>
    <row r="195">
      <c r="A195"/>
      <c r="B195"/>
      <c r="C195"/>
      <c r="D195"/>
      <c r="E195"/>
      <c r="F195"/>
      <c r="G195"/>
      <c r="H195">
        <f>H194+C195-D195-F195-G195</f>
        <v>-2393.87</v>
      </c>
      <c r="I195"/>
      <c r="J195"/>
    </row>
    <row r="196">
      <c r="A196"/>
      <c r="B196"/>
      <c r="C196"/>
      <c r="D196"/>
      <c r="E196"/>
      <c r="F196"/>
      <c r="G196"/>
      <c r="H196">
        <f>H195+C196-D196-F196-G196</f>
        <v>-2393.87</v>
      </c>
      <c r="I196"/>
      <c r="J196"/>
    </row>
    <row r="197">
      <c r="A197"/>
      <c r="B197"/>
      <c r="C197"/>
      <c r="D197"/>
      <c r="E197"/>
      <c r="F197"/>
      <c r="G197"/>
      <c r="H197">
        <f>H196+C197-D197-F197-G197</f>
        <v>-2393.87</v>
      </c>
      <c r="I197"/>
      <c r="J197"/>
    </row>
    <row r="198">
      <c r="A198"/>
      <c r="B198"/>
      <c r="C198"/>
      <c r="D198"/>
      <c r="E198"/>
      <c r="F198"/>
      <c r="G198"/>
      <c r="H198">
        <f>H197+C198-D198-F198-G198</f>
        <v>-2393.87</v>
      </c>
      <c r="I198"/>
      <c r="J198"/>
    </row>
    <row r="199">
      <c r="A199"/>
      <c r="B199"/>
      <c r="C199"/>
      <c r="D199"/>
      <c r="E199"/>
      <c r="F199"/>
      <c r="G199"/>
      <c r="H199">
        <f>H198+C199-D199-F199-G199</f>
        <v>-2393.87</v>
      </c>
      <c r="I199"/>
      <c r="J199"/>
    </row>
    <row r="200">
      <c r="A200"/>
      <c r="B200"/>
      <c r="C200"/>
      <c r="D200"/>
      <c r="E200"/>
      <c r="F200"/>
      <c r="G200"/>
      <c r="H200">
        <f>H199+C200-D200-F200-G200</f>
        <v>-2393.87</v>
      </c>
      <c r="I200"/>
      <c r="J200"/>
    </row>
    <row r="201">
      <c r="A201"/>
      <c r="B201"/>
      <c r="C201"/>
      <c r="D201"/>
      <c r="E201"/>
      <c r="F201"/>
      <c r="G201"/>
      <c r="H201">
        <f>H200+C201-D201-F201-G201</f>
        <v>-2393.87</v>
      </c>
      <c r="I201"/>
      <c r="J201"/>
    </row>
    <row r="202">
      <c r="A202"/>
      <c r="B202"/>
      <c r="C202"/>
      <c r="D202"/>
      <c r="E202"/>
      <c r="F202"/>
      <c r="G202"/>
      <c r="H202">
        <f>H201+C202-D202-F202-G202</f>
        <v>-2393.87</v>
      </c>
      <c r="I202"/>
      <c r="J202"/>
    </row>
    <row r="203">
      <c r="A203"/>
      <c r="B203"/>
      <c r="C203"/>
      <c r="D203"/>
      <c r="E203"/>
      <c r="F203"/>
      <c r="G203"/>
      <c r="H203">
        <f>H202+C203-D203-F203-G203</f>
        <v>-2393.87</v>
      </c>
      <c r="I203"/>
      <c r="J203"/>
    </row>
    <row r="204">
      <c r="A204"/>
      <c r="B204"/>
      <c r="C204"/>
      <c r="D204"/>
      <c r="E204"/>
      <c r="F204"/>
      <c r="G204"/>
      <c r="H204">
        <f>H203+C204-D204-F204-G204</f>
        <v>-2393.87</v>
      </c>
      <c r="I204"/>
      <c r="J204"/>
    </row>
    <row r="205">
      <c r="A205"/>
      <c r="B205"/>
      <c r="C205"/>
      <c r="D205"/>
      <c r="E205"/>
      <c r="F205"/>
      <c r="G205"/>
      <c r="H205">
        <f>H204+C205-D205-F205-G205</f>
        <v>-2393.87</v>
      </c>
      <c r="I205"/>
      <c r="J205"/>
    </row>
    <row r="206">
      <c r="A206"/>
      <c r="B206"/>
      <c r="C206"/>
      <c r="D206"/>
      <c r="E206"/>
      <c r="F206"/>
      <c r="G206"/>
      <c r="H206">
        <f>H205+C206-D206-F206-G206</f>
        <v>-2393.87</v>
      </c>
      <c r="I206"/>
      <c r="J206"/>
    </row>
    <row r="207">
      <c r="A207"/>
      <c r="B207"/>
      <c r="C207"/>
      <c r="D207"/>
      <c r="E207"/>
      <c r="F207"/>
      <c r="G207"/>
      <c r="H207">
        <f>H206+C207-D207-F207-G207</f>
        <v>-2393.87</v>
      </c>
      <c r="I207"/>
      <c r="J207"/>
    </row>
    <row r="208">
      <c r="A208"/>
      <c r="B208"/>
      <c r="C208"/>
      <c r="D208"/>
      <c r="E208"/>
      <c r="F208"/>
      <c r="G208"/>
      <c r="H208">
        <f>H207+C208-D208-F208-G208</f>
        <v>-2393.87</v>
      </c>
      <c r="I208"/>
      <c r="J208"/>
    </row>
    <row r="209">
      <c r="A209"/>
      <c r="B209"/>
      <c r="C209"/>
      <c r="D209"/>
      <c r="E209"/>
      <c r="F209"/>
      <c r="G209"/>
      <c r="H209">
        <f>H208+C209-D209-F209-G209</f>
        <v>-2393.87</v>
      </c>
      <c r="I209"/>
      <c r="J209"/>
    </row>
    <row r="210">
      <c r="A210"/>
      <c r="B210"/>
      <c r="C210"/>
      <c r="D210"/>
      <c r="E210"/>
      <c r="F210"/>
      <c r="G210"/>
      <c r="H210">
        <f>H209+C210-D210-F210-G210</f>
        <v>-2393.87</v>
      </c>
      <c r="I210"/>
      <c r="J210"/>
    </row>
    <row r="211">
      <c r="A211"/>
      <c r="B211"/>
      <c r="C211"/>
      <c r="D211"/>
      <c r="E211"/>
      <c r="F211"/>
      <c r="G211"/>
      <c r="H211">
        <f>H210+C211-D211-F211-G211</f>
        <v>-2393.87</v>
      </c>
      <c r="I211"/>
      <c r="J211"/>
    </row>
    <row r="212">
      <c r="A212"/>
      <c r="B212"/>
      <c r="C212"/>
      <c r="D212"/>
      <c r="E212"/>
      <c r="F212"/>
      <c r="G212"/>
      <c r="H212">
        <f>H211+C212-D212-F212-G212</f>
        <v>-2393.87</v>
      </c>
      <c r="I212"/>
      <c r="J212"/>
    </row>
    <row r="213">
      <c r="A213"/>
      <c r="B213"/>
      <c r="C213"/>
      <c r="D213"/>
      <c r="E213"/>
      <c r="F213"/>
      <c r="G213"/>
      <c r="H213">
        <f>H212+C213-D213-F213-G213</f>
        <v>-2393.87</v>
      </c>
      <c r="I213"/>
      <c r="J213"/>
    </row>
    <row r="214">
      <c r="A214"/>
      <c r="B214"/>
      <c r="C214"/>
      <c r="D214"/>
      <c r="E214"/>
      <c r="F214"/>
      <c r="G214"/>
      <c r="H214">
        <f>H213+C214-D214-F214-G214</f>
        <v>-2393.87</v>
      </c>
      <c r="I214"/>
      <c r="J214"/>
    </row>
    <row r="215">
      <c r="A215"/>
      <c r="B215"/>
      <c r="C215"/>
      <c r="D215"/>
      <c r="E215"/>
      <c r="F215"/>
      <c r="G215"/>
      <c r="H215">
        <f>H214+C215-D215-F215-G215</f>
        <v>-2393.87</v>
      </c>
      <c r="I215"/>
      <c r="J215"/>
    </row>
    <row r="216">
      <c r="A216"/>
      <c r="B216"/>
      <c r="C216"/>
      <c r="D216"/>
      <c r="E216"/>
      <c r="F216"/>
      <c r="G216"/>
      <c r="H216">
        <f>H215+C216-D216-F216-G216</f>
        <v>-2393.87</v>
      </c>
      <c r="I216"/>
      <c r="J216"/>
    </row>
    <row r="217">
      <c r="A217"/>
      <c r="B217"/>
      <c r="C217"/>
      <c r="D217"/>
      <c r="E217"/>
      <c r="F217"/>
      <c r="G217"/>
      <c r="H217">
        <f>H216+C217-D217-F217-G217</f>
        <v>-2393.87</v>
      </c>
      <c r="I217"/>
      <c r="J217"/>
    </row>
    <row r="218">
      <c r="A218"/>
      <c r="B218"/>
      <c r="C218"/>
      <c r="D218"/>
      <c r="E218"/>
      <c r="F218"/>
      <c r="G218"/>
      <c r="H218">
        <f>H217+C218-D218-F218-G218</f>
        <v>-2393.87</v>
      </c>
      <c r="I218"/>
      <c r="J218"/>
    </row>
    <row r="219">
      <c r="A219"/>
      <c r="B219"/>
      <c r="C219"/>
      <c r="D219"/>
      <c r="E219"/>
      <c r="F219"/>
      <c r="G219"/>
      <c r="H219">
        <f>H218+C219-D219-F219-G219</f>
        <v>-2393.87</v>
      </c>
      <c r="I219"/>
      <c r="J219"/>
    </row>
    <row r="220">
      <c r="A220"/>
      <c r="B220"/>
      <c r="C220"/>
      <c r="D220"/>
      <c r="E220"/>
      <c r="F220"/>
      <c r="G220"/>
      <c r="H220">
        <f>H219+C220-D220-F220-G220</f>
        <v>-2393.87</v>
      </c>
      <c r="I220"/>
      <c r="J220"/>
    </row>
    <row r="221">
      <c r="A221"/>
      <c r="B221"/>
      <c r="C221"/>
      <c r="D221"/>
      <c r="E221"/>
      <c r="F221"/>
      <c r="G221"/>
      <c r="H221">
        <f>H220+C221-D221-F221-G221</f>
        <v>-2393.87</v>
      </c>
      <c r="I221"/>
      <c r="J221"/>
    </row>
    <row r="222">
      <c r="A222"/>
      <c r="B222"/>
      <c r="C222"/>
      <c r="D222"/>
      <c r="E222"/>
      <c r="F222"/>
      <c r="G222"/>
      <c r="H222">
        <f>H221+C222-D222-F222-G222</f>
        <v>-2393.87</v>
      </c>
      <c r="I222"/>
      <c r="J222"/>
    </row>
    <row r="223">
      <c r="A223"/>
      <c r="B223"/>
      <c r="C223"/>
      <c r="D223"/>
      <c r="E223"/>
      <c r="F223"/>
      <c r="G223"/>
      <c r="H223">
        <f>H222+C223-D223-F223-G223</f>
        <v>-2393.87</v>
      </c>
      <c r="I223"/>
      <c r="J223"/>
    </row>
    <row r="224">
      <c r="A224"/>
      <c r="B224"/>
      <c r="C224"/>
      <c r="D224"/>
      <c r="E224"/>
      <c r="F224"/>
      <c r="G224"/>
      <c r="H224">
        <f>H223+C224-D224-F224-G224</f>
        <v>-2393.87</v>
      </c>
      <c r="I224"/>
      <c r="J224"/>
    </row>
    <row r="225">
      <c r="A225"/>
      <c r="B225"/>
      <c r="C225"/>
      <c r="D225"/>
      <c r="E225"/>
      <c r="F225"/>
      <c r="G225"/>
      <c r="H225">
        <f>H224+C225-D225-F225-G225</f>
        <v>-2393.87</v>
      </c>
      <c r="I225"/>
      <c r="J225"/>
    </row>
    <row r="226">
      <c r="A226"/>
      <c r="B226"/>
      <c r="C226"/>
      <c r="D226"/>
      <c r="E226"/>
      <c r="F226"/>
      <c r="G226"/>
      <c r="H226">
        <f>H225+C226-D226-F226-G226</f>
        <v>-2393.87</v>
      </c>
      <c r="I226"/>
      <c r="J226"/>
    </row>
    <row r="227">
      <c r="A227"/>
      <c r="B227"/>
      <c r="C227"/>
      <c r="D227"/>
      <c r="E227"/>
      <c r="F227"/>
      <c r="G227"/>
      <c r="H227">
        <f>H226+C227-D227-F227-G227</f>
        <v>-2393.87</v>
      </c>
      <c r="I227"/>
      <c r="J227"/>
    </row>
    <row r="228">
      <c r="A228"/>
      <c r="B228"/>
      <c r="C228"/>
      <c r="D228"/>
      <c r="E228"/>
      <c r="F228"/>
      <c r="G228"/>
      <c r="H228">
        <f>H227+C228-D228-F228-G228</f>
        <v>-2393.87</v>
      </c>
      <c r="I228"/>
      <c r="J228"/>
    </row>
    <row r="229">
      <c r="A229"/>
      <c r="B229"/>
      <c r="C229"/>
      <c r="D229"/>
      <c r="E229"/>
      <c r="F229"/>
      <c r="G229"/>
      <c r="H229">
        <f>H228+C229-D229-F229-G229</f>
        <v>-2393.87</v>
      </c>
      <c r="I229"/>
      <c r="J229"/>
    </row>
    <row r="230">
      <c r="A230"/>
      <c r="B230"/>
      <c r="C230"/>
      <c r="D230"/>
      <c r="E230"/>
      <c r="F230"/>
      <c r="G230"/>
      <c r="H230">
        <f>H229+C230-D230-F230-G230</f>
        <v>-2393.87</v>
      </c>
      <c r="I230"/>
      <c r="J230"/>
    </row>
    <row r="231">
      <c r="A231"/>
      <c r="B231"/>
      <c r="C231"/>
      <c r="D231"/>
      <c r="E231"/>
      <c r="F231"/>
      <c r="G231"/>
      <c r="H231">
        <f>H230+C231-D231-F231-G231</f>
        <v>-2393.87</v>
      </c>
      <c r="I231"/>
      <c r="J231"/>
    </row>
    <row r="232">
      <c r="A232"/>
      <c r="B232"/>
      <c r="C232"/>
      <c r="D232"/>
      <c r="E232"/>
      <c r="F232"/>
      <c r="G232"/>
      <c r="H232">
        <f>H231+C232-D232-F232-G232</f>
        <v>-2393.87</v>
      </c>
      <c r="I232"/>
      <c r="J232"/>
    </row>
    <row r="233">
      <c r="A233"/>
      <c r="B233"/>
      <c r="C233"/>
      <c r="D233"/>
      <c r="E233"/>
      <c r="F233"/>
      <c r="G233"/>
      <c r="H233">
        <f>H232+C233-D233-F233-G233</f>
        <v>-2393.87</v>
      </c>
      <c r="I233"/>
      <c r="J233"/>
    </row>
    <row r="234">
      <c r="A234"/>
      <c r="B234"/>
      <c r="C234"/>
      <c r="D234"/>
      <c r="E234"/>
      <c r="F234"/>
      <c r="G234"/>
      <c r="H234">
        <f>H233+C234-D234-F234-G234</f>
        <v>-2393.87</v>
      </c>
      <c r="I234"/>
      <c r="J234"/>
    </row>
    <row r="235">
      <c r="A235"/>
      <c r="B235"/>
      <c r="C235"/>
      <c r="D235"/>
      <c r="E235"/>
      <c r="F235"/>
      <c r="G235"/>
      <c r="H235">
        <f>H234+C235-D235-F235-G235</f>
        <v>-2393.87</v>
      </c>
      <c r="I235"/>
      <c r="J235"/>
    </row>
    <row r="236">
      <c r="A236"/>
      <c r="B236"/>
      <c r="C236"/>
      <c r="D236"/>
      <c r="E236"/>
      <c r="F236"/>
      <c r="G236"/>
      <c r="H236">
        <f>H235+C236-D236-F236-G236</f>
        <v>-2393.87</v>
      </c>
      <c r="I236"/>
      <c r="J236"/>
    </row>
    <row r="237">
      <c r="A237"/>
      <c r="B237"/>
      <c r="C237"/>
      <c r="D237"/>
      <c r="E237"/>
      <c r="F237"/>
      <c r="G237"/>
      <c r="H237">
        <f>H236+C237-D237-F237-G237</f>
        <v>-2393.87</v>
      </c>
      <c r="I237"/>
      <c r="J237"/>
    </row>
    <row r="238">
      <c r="A238"/>
      <c r="B238"/>
      <c r="C238"/>
      <c r="D238"/>
      <c r="E238"/>
      <c r="F238"/>
      <c r="G238"/>
      <c r="H238">
        <f>H237+C238-D238-F238-G238</f>
        <v>-2393.87</v>
      </c>
      <c r="I238"/>
      <c r="J238"/>
    </row>
    <row r="239">
      <c r="A239"/>
      <c r="B239"/>
      <c r="C239"/>
      <c r="D239"/>
      <c r="E239"/>
      <c r="F239"/>
      <c r="G239"/>
      <c r="H239">
        <f>H238+C239-D239-F239-G239</f>
        <v>-2393.87</v>
      </c>
      <c r="I239"/>
      <c r="J239"/>
    </row>
    <row r="240">
      <c r="A240"/>
      <c r="B240"/>
      <c r="C240"/>
      <c r="D240"/>
      <c r="E240"/>
      <c r="F240"/>
      <c r="G240"/>
      <c r="H240">
        <f>H239+C240-D240-F240-G240</f>
        <v>-2393.87</v>
      </c>
      <c r="I240"/>
      <c r="J240"/>
    </row>
    <row r="241">
      <c r="A241"/>
      <c r="B241"/>
      <c r="C241"/>
      <c r="D241"/>
      <c r="E241"/>
      <c r="F241"/>
      <c r="G241"/>
      <c r="H241">
        <f>H240+C241-D241-F241-G241</f>
        <v>-2393.87</v>
      </c>
      <c r="I241"/>
      <c r="J241"/>
    </row>
    <row r="242">
      <c r="A242"/>
      <c r="B242"/>
      <c r="C242"/>
      <c r="D242"/>
      <c r="E242"/>
      <c r="F242"/>
      <c r="G242"/>
      <c r="H242">
        <f>H241+C242-D242-F242-G242</f>
        <v>-2393.87</v>
      </c>
      <c r="I242"/>
      <c r="J242"/>
    </row>
    <row r="243">
      <c r="A243"/>
      <c r="B243"/>
      <c r="C243"/>
      <c r="D243"/>
      <c r="E243"/>
      <c r="F243"/>
      <c r="G243"/>
      <c r="H243">
        <f>H242+C243-D243-F243-G243</f>
        <v>-2393.87</v>
      </c>
      <c r="I243"/>
      <c r="J243"/>
    </row>
    <row r="244">
      <c r="A244"/>
      <c r="B244"/>
      <c r="C244"/>
      <c r="D244"/>
      <c r="E244"/>
      <c r="F244"/>
      <c r="G244"/>
      <c r="H244">
        <f>H243+C244-D244-F244-G244</f>
        <v>-2393.87</v>
      </c>
      <c r="I244"/>
      <c r="J244"/>
    </row>
    <row r="245">
      <c r="A245"/>
      <c r="B245"/>
      <c r="C245"/>
      <c r="D245"/>
      <c r="E245"/>
      <c r="F245"/>
      <c r="G245"/>
      <c r="H245">
        <f>H244+C245-D245-F245-G245</f>
        <v>-2393.87</v>
      </c>
      <c r="I245"/>
      <c r="J245"/>
    </row>
    <row r="246">
      <c r="A246"/>
      <c r="B246"/>
      <c r="C246"/>
      <c r="D246"/>
      <c r="E246"/>
      <c r="F246"/>
      <c r="G246"/>
      <c r="H246">
        <f>H245+C246-D246-F246-G246</f>
        <v>-2393.87</v>
      </c>
      <c r="I246"/>
      <c r="J246"/>
    </row>
    <row r="247">
      <c r="A247"/>
      <c r="B247"/>
      <c r="C247"/>
      <c r="D247"/>
      <c r="E247"/>
      <c r="F247"/>
      <c r="G247"/>
      <c r="H247">
        <f>H246+C247-D247-F247-G247</f>
        <v>-2393.87</v>
      </c>
      <c r="I247"/>
      <c r="J247"/>
    </row>
    <row r="248">
      <c r="A248"/>
      <c r="B248"/>
      <c r="C248"/>
      <c r="D248"/>
      <c r="E248"/>
      <c r="F248"/>
      <c r="G248"/>
      <c r="H248">
        <f>H247+C248-D248-F248-G248</f>
        <v>-2393.87</v>
      </c>
      <c r="I248"/>
      <c r="J248"/>
    </row>
    <row r="249">
      <c r="A249"/>
      <c r="B249"/>
      <c r="C249"/>
      <c r="D249"/>
      <c r="E249"/>
      <c r="F249"/>
      <c r="G249"/>
      <c r="H249">
        <f>H248+C249-D249-F249-G249</f>
        <v>-2393.87</v>
      </c>
      <c r="I249"/>
      <c r="J249"/>
    </row>
    <row r="250">
      <c r="A250"/>
      <c r="B250"/>
      <c r="C250"/>
      <c r="D250"/>
      <c r="E250"/>
      <c r="F250"/>
      <c r="G250"/>
      <c r="H250">
        <f>H249+C250-D250-F250-G250</f>
        <v>-2393.87</v>
      </c>
      <c r="I250"/>
      <c r="J250"/>
    </row>
    <row r="251">
      <c r="A251"/>
      <c r="B251"/>
      <c r="C251"/>
      <c r="D251"/>
      <c r="E251"/>
      <c r="F251"/>
      <c r="G251"/>
      <c r="H251">
        <f>H250+C251-D251-F251-G251</f>
        <v>-2393.87</v>
      </c>
      <c r="I251"/>
      <c r="J251"/>
    </row>
    <row r="252">
      <c r="A252"/>
      <c r="B252"/>
      <c r="C252"/>
      <c r="D252"/>
      <c r="E252"/>
      <c r="F252"/>
      <c r="G252"/>
      <c r="H252">
        <f>H251+C252-D252-F252-G252</f>
        <v>-2393.87</v>
      </c>
      <c r="I252"/>
      <c r="J252"/>
    </row>
    <row r="253">
      <c r="A253"/>
      <c r="B253"/>
      <c r="C253"/>
      <c r="D253"/>
      <c r="E253"/>
      <c r="F253"/>
      <c r="G253"/>
      <c r="H253">
        <f>H252+C253-D253-F253-G253</f>
        <v>-2393.87</v>
      </c>
      <c r="I253"/>
      <c r="J253"/>
    </row>
    <row r="254">
      <c r="A254"/>
      <c r="B254"/>
      <c r="C254"/>
      <c r="D254"/>
      <c r="E254"/>
      <c r="F254"/>
      <c r="G254"/>
      <c r="H254">
        <f>H253+C254-D254-F254-G254</f>
        <v>-2393.87</v>
      </c>
      <c r="I254"/>
      <c r="J254"/>
    </row>
    <row r="255">
      <c r="A255"/>
      <c r="B255"/>
      <c r="C255"/>
      <c r="D255"/>
      <c r="E255"/>
      <c r="F255"/>
      <c r="G255"/>
      <c r="H255">
        <f>H254+C255-D255-F255-G255</f>
        <v>-2393.87</v>
      </c>
      <c r="I255"/>
      <c r="J255"/>
    </row>
    <row r="256">
      <c r="A256"/>
      <c r="B256"/>
      <c r="C256"/>
      <c r="D256"/>
      <c r="E256"/>
      <c r="F256"/>
      <c r="G256"/>
      <c r="H256">
        <f>H255+C256-D256-F256-G256</f>
        <v>-2393.87</v>
      </c>
      <c r="I256"/>
      <c r="J256"/>
    </row>
    <row r="257">
      <c r="A257"/>
      <c r="B257"/>
      <c r="C257"/>
      <c r="D257"/>
      <c r="E257"/>
      <c r="F257"/>
      <c r="G257"/>
      <c r="H257">
        <f>H256+C257-D257-F257-G257</f>
        <v>-2393.87</v>
      </c>
      <c r="I257"/>
      <c r="J257"/>
    </row>
    <row r="258">
      <c r="A258"/>
      <c r="B258"/>
      <c r="C258"/>
      <c r="D258"/>
      <c r="E258"/>
      <c r="F258"/>
      <c r="G258"/>
      <c r="H258">
        <f>H257+C258-D258-F258-G258</f>
        <v>-2393.87</v>
      </c>
      <c r="I258"/>
      <c r="J258"/>
    </row>
    <row r="259">
      <c r="A259"/>
      <c r="B259"/>
      <c r="C259"/>
      <c r="D259"/>
      <c r="E259"/>
      <c r="F259"/>
      <c r="G259"/>
      <c r="H259">
        <f>H258+C259-D259-F259-G259</f>
        <v>-2393.87</v>
      </c>
      <c r="I259"/>
      <c r="J259"/>
    </row>
    <row r="260">
      <c r="A260"/>
      <c r="B260"/>
      <c r="C260"/>
      <c r="D260"/>
      <c r="E260"/>
      <c r="F260"/>
      <c r="G260"/>
      <c r="H260">
        <f>H259+C260-D260-F260-G260</f>
        <v>-2393.87</v>
      </c>
      <c r="I260"/>
      <c r="J260"/>
    </row>
    <row r="261">
      <c r="A261"/>
      <c r="B261"/>
      <c r="C261"/>
      <c r="D261"/>
      <c r="E261"/>
      <c r="F261"/>
      <c r="G261"/>
      <c r="H261">
        <f>H260+C261-D261-F261-G261</f>
        <v>-2393.87</v>
      </c>
      <c r="I261"/>
      <c r="J261"/>
    </row>
    <row r="262">
      <c r="A262"/>
      <c r="B262"/>
      <c r="C262" s="0">
        <f>SUM(C2:C261)</f>
        <v>13875.25</v>
      </c>
      <c r="D262" s="0">
        <f>SUM(D2:D261)</f>
        <v>5834.12</v>
      </c>
      <c r="E262" s="0">
        <f>SUM(E2:E260)</f>
        <v>1202.85</v>
      </c>
      <c r="F262" s="0">
        <f>SUM(F2:F260)</f>
        <v>8085</v>
      </c>
      <c r="G262" s="0">
        <f>SUM(G2:G260)</f>
        <v>2350</v>
      </c>
      <c r="H262">
        <v>0</v>
      </c>
      <c r="I262"/>
      <c r="J262"/>
    </row>
    <row r="263">
      <c r="A263"/>
      <c r="B263"/>
      <c r="C263"/>
      <c r="D263"/>
      <c r="E263"/>
      <c r="F263"/>
      <c r="G263"/>
      <c r="H263"/>
      <c r="I263"/>
      <c r="J263"/>
    </row>
    <row r="264">
      <c r="A264"/>
      <c r="B264"/>
      <c r="C264"/>
      <c r="D264"/>
      <c r="E264"/>
      <c r="F264"/>
      <c r="G264"/>
      <c r="H264"/>
      <c r="I264"/>
      <c r="J264"/>
    </row>
    <row r="265">
      <c r="A265"/>
      <c r="B265"/>
      <c r="C265"/>
      <c r="D265"/>
      <c r="E265"/>
      <c r="F265"/>
      <c r="G265"/>
      <c r="H265"/>
      <c r="I265"/>
      <c r="J265"/>
    </row>
    <row r="266">
      <c r="A266"/>
      <c r="B266" t="str">
        <v>Difference Of Exchange </v>
      </c>
      <c r="C266">
        <v>0</v>
      </c>
      <c r="D266"/>
      <c r="E266"/>
      <c r="F266"/>
      <c r="G266"/>
      <c r="H266"/>
      <c r="I266"/>
      <c r="J266"/>
    </row>
    <row r="267">
      <c r="A267"/>
      <c r="B267" t="str">
        <v>Total Sum per Month $ =</v>
      </c>
      <c r="C267" s="0">
        <f>C262</f>
        <v>13875.25</v>
      </c>
      <c r="D267"/>
      <c r="E267"/>
      <c r="F267"/>
      <c r="G267"/>
      <c r="H267"/>
      <c r="I267"/>
      <c r="J267"/>
    </row>
    <row r="268">
      <c r="A268"/>
      <c r="B268" t="str">
        <v>Expenses $ =</v>
      </c>
      <c r="C268"/>
      <c r="D268" s="0">
        <f>D262</f>
        <v>5834.12</v>
      </c>
      <c r="E268"/>
      <c r="F268"/>
      <c r="G268"/>
      <c r="H268"/>
      <c r="I268"/>
      <c r="J268"/>
    </row>
    <row r="269">
      <c r="A269"/>
      <c r="B269"/>
      <c r="C269"/>
      <c r="D269">
        <v>0</v>
      </c>
      <c r="E269"/>
      <c r="F269"/>
      <c r="G269"/>
      <c r="H269"/>
      <c r="I269"/>
      <c r="J269"/>
    </row>
    <row r="270">
      <c r="A270"/>
      <c r="B270" t="str">
        <v>Insurance Clossing </v>
      </c>
      <c r="C270"/>
      <c r="D270">
        <v>250</v>
      </c>
      <c r="E270"/>
      <c r="F270"/>
      <c r="G270"/>
      <c r="H270"/>
      <c r="I270"/>
      <c r="J270"/>
    </row>
    <row r="271">
      <c r="A271"/>
      <c r="B271" t="str">
        <v>Rasha Social Media</v>
      </c>
      <c r="C271"/>
      <c r="D271">
        <v>300</v>
      </c>
      <c r="E271"/>
      <c r="F271"/>
      <c r="G271"/>
      <c r="H271"/>
      <c r="I271"/>
      <c r="J271"/>
    </row>
    <row r="272">
      <c r="A272"/>
      <c r="B272" t="str">
        <v>Kassab </v>
      </c>
      <c r="C272"/>
      <c r="D272">
        <v>180</v>
      </c>
      <c r="E272"/>
      <c r="F272"/>
      <c r="G272"/>
      <c r="H272"/>
      <c r="I272"/>
      <c r="J272"/>
    </row>
    <row r="273">
      <c r="A273"/>
      <c r="B273" t="str">
        <v>Miro Advance Salary September </v>
      </c>
      <c r="C273"/>
      <c r="D273">
        <v>600</v>
      </c>
      <c r="E273"/>
      <c r="F273"/>
      <c r="G273"/>
      <c r="H273"/>
      <c r="I273"/>
      <c r="J273"/>
    </row>
    <row r="274">
      <c r="A274"/>
      <c r="B274" t="str">
        <v>Allaf &amp; Dactors For Animals </v>
      </c>
      <c r="C274"/>
      <c r="D274">
        <v>100</v>
      </c>
      <c r="E274"/>
      <c r="F274"/>
      <c r="G274"/>
      <c r="H274"/>
      <c r="I274"/>
      <c r="J274"/>
    </row>
    <row r="275">
      <c r="A275"/>
      <c r="B275" t="str">
        <v>Mhamad Extra Work Farm July Paid On August </v>
      </c>
      <c r="C275"/>
      <c r="D275">
        <v>100</v>
      </c>
      <c r="E275"/>
      <c r="F275"/>
      <c r="G275"/>
      <c r="H275"/>
      <c r="I275"/>
      <c r="J275"/>
    </row>
    <row r="276">
      <c r="A276"/>
      <c r="B276"/>
      <c r="C276"/>
      <c r="D276">
        <v>0</v>
      </c>
      <c r="E276"/>
      <c r="F276"/>
      <c r="G276"/>
      <c r="H276"/>
      <c r="I276"/>
      <c r="J276"/>
    </row>
    <row r="277">
      <c r="A277"/>
      <c r="B277"/>
      <c r="C277"/>
      <c r="D277">
        <v>0</v>
      </c>
      <c r="E277"/>
      <c r="F277"/>
      <c r="G277"/>
      <c r="H277"/>
      <c r="I277"/>
      <c r="J277"/>
    </row>
    <row r="278">
      <c r="A278"/>
      <c r="B278"/>
      <c r="C278"/>
      <c r="D278">
        <v>0</v>
      </c>
      <c r="E278"/>
      <c r="F278"/>
      <c r="G278"/>
      <c r="H278"/>
      <c r="I278"/>
      <c r="J278"/>
    </row>
    <row r="279">
      <c r="A279"/>
      <c r="B279"/>
      <c r="C279"/>
      <c r="D279">
        <v>0</v>
      </c>
      <c r="E279"/>
      <c r="F279"/>
      <c r="G279"/>
      <c r="H279"/>
      <c r="I279"/>
      <c r="J279"/>
    </row>
    <row r="280">
      <c r="A280"/>
      <c r="B280"/>
      <c r="C280"/>
      <c r="D280">
        <v>0</v>
      </c>
      <c r="E280"/>
      <c r="F280"/>
      <c r="G280"/>
      <c r="H280"/>
      <c r="I280"/>
      <c r="J280"/>
    </row>
    <row r="281">
      <c r="A281"/>
      <c r="B281"/>
      <c r="C281"/>
      <c r="D281">
        <v>0</v>
      </c>
      <c r="E281"/>
      <c r="F281"/>
      <c r="G281"/>
      <c r="H281"/>
      <c r="I281"/>
      <c r="J281"/>
    </row>
    <row r="282">
      <c r="A282"/>
      <c r="B282"/>
      <c r="C282"/>
      <c r="D282" t="str">
        <v>Cash </v>
      </c>
      <c r="E282"/>
      <c r="F282"/>
      <c r="G282"/>
      <c r="H282"/>
      <c r="I282"/>
      <c r="J282"/>
    </row>
    <row r="283">
      <c r="A283"/>
      <c r="B283" t="str">
        <v>Remainig Cash Flow From July (Sanaa)</v>
      </c>
      <c r="C283"/>
      <c r="D283">
        <v>950</v>
      </c>
      <c r="E283"/>
      <c r="F283"/>
      <c r="G283"/>
      <c r="H283"/>
      <c r="I283"/>
      <c r="J283"/>
    </row>
    <row r="284">
      <c r="A284"/>
      <c r="B284" t="str">
        <v>Remainig Cash From (Youssef &amp; Firas)</v>
      </c>
      <c r="C284"/>
      <c r="D284">
        <v>0</v>
      </c>
      <c r="E284"/>
      <c r="F284"/>
      <c r="G284"/>
      <c r="H284"/>
      <c r="I284"/>
      <c r="J284"/>
    </row>
    <row r="285">
      <c r="A285"/>
      <c r="B285" t="str">
        <v>Total Cash August </v>
      </c>
      <c r="C285"/>
      <c r="D285" s="0">
        <f>F262-D270-D271-D272-D273-D274-D275-D276-D277-D278-D279-D280-D281</f>
        <v>6555</v>
      </c>
      <c r="E285"/>
      <c r="F285"/>
      <c r="G285"/>
      <c r="H285"/>
      <c r="I285"/>
      <c r="J285"/>
    </row>
    <row r="286">
      <c r="A286"/>
      <c r="B286"/>
      <c r="C286"/>
      <c r="D286"/>
      <c r="E286"/>
      <c r="F286"/>
      <c r="G286"/>
      <c r="H286"/>
      <c r="I286"/>
      <c r="J286"/>
    </row>
    <row r="287">
      <c r="A287"/>
      <c r="B287" t="str">
        <v>Remainig D.P From birthday (Sanaa)</v>
      </c>
      <c r="C287"/>
      <c r="D287" s="0">
        <f>G262-E262</f>
        <v>1147.15</v>
      </c>
      <c r="E287"/>
      <c r="F287"/>
      <c r="G287"/>
      <c r="H287"/>
      <c r="I287"/>
      <c r="J287"/>
    </row>
    <row r="288">
      <c r="A288"/>
      <c r="B288"/>
      <c r="C288"/>
      <c r="D288"/>
      <c r="E288"/>
      <c r="F288"/>
      <c r="G288"/>
      <c r="H288"/>
      <c r="I288"/>
      <c r="J288"/>
    </row>
    <row r="289">
      <c r="A289"/>
      <c r="B289" t="str">
        <v>Net in Cash</v>
      </c>
      <c r="C289" s="0">
        <f>C267-F262-D262</f>
        <v>-43.8699999999999</v>
      </c>
      <c r="D289"/>
      <c r="E289"/>
      <c r="F289"/>
      <c r="G289"/>
      <c r="H289"/>
      <c r="I289"/>
      <c r="J289"/>
    </row>
  </sheetData>
  <mergeCells count="20">
    <mergeCell ref="A2:A17"/>
    <mergeCell ref="A18:A24"/>
    <mergeCell ref="A25:A32"/>
    <mergeCell ref="A33:A34"/>
    <mergeCell ref="A35:A50"/>
    <mergeCell ref="A51:A60"/>
    <mergeCell ref="A61:A70"/>
    <mergeCell ref="A71:A82"/>
    <mergeCell ref="A83:A90"/>
    <mergeCell ref="A91:A101"/>
    <mergeCell ref="A102:A103"/>
    <mergeCell ref="A104:A109"/>
    <mergeCell ref="A110:A117"/>
    <mergeCell ref="A118:A125"/>
    <mergeCell ref="A126:A131"/>
    <mergeCell ref="A132:A138"/>
    <mergeCell ref="A139:A142"/>
    <mergeCell ref="A143:A154"/>
    <mergeCell ref="A155:A163"/>
    <mergeCell ref="A164:A172"/>
  </mergeCells>
  <pageMargins left="0.7" right="0.7" top="0.75" bottom="0.75" header="0.3" footer="0.3"/>
</worksheet>
</file>