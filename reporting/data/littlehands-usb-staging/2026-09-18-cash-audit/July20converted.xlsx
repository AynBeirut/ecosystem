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f4e23dace44b9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2"/>
  </bookViews>
  <sheets>
    <sheet name="2-7-2027" sheetId="1" r:id="R3c5d3a64bcfb4249"/>
    <sheet name="3-7-2026" sheetId="2" r:id="R594c01d5f9684048"/>
    <sheet name="4-7-2026" sheetId="3" r:id="Rc156c4209b6648b9"/>
    <sheet name="5-7-2026" sheetId="4" r:id="Rd446c568b4844304"/>
    <sheet name="8-7-2026" sheetId="5" r:id="R897cd2792090492e"/>
    <sheet name="9-7-2026" sheetId="6" r:id="R4380f921f0044e58"/>
    <sheet name="10-7-2026" sheetId="7" r:id="R631c58e165d54ea6"/>
    <sheet name="11-7-2026" sheetId="8" r:id="Rafcd0b37881a49c2"/>
    <sheet name="12-7-2026" sheetId="9" r:id="Rafc0f1a1d05c4af1"/>
    <sheet name="15-7-2026" sheetId="10" r:id="Rc86a87b7a9a14b96"/>
    <sheet name="17-7-2026" sheetId="11" r:id="R26eca2586fe64334"/>
    <sheet name="18-7--2026" sheetId="12" r:id="R28f77ebb073943d9"/>
    <sheet name="19-72026" sheetId="13" r:id="Rc5edb87dd5b94aec"/>
    <sheet name="22-7-2026" sheetId="14" r:id="Ra36913d9818746ad"/>
    <sheet name="24-7-2026" sheetId="15" r:id="R4dce86d4c41f4bfd"/>
    <sheet name="25-7-2026" sheetId="16" r:id="R55095b43305f4245"/>
    <sheet name="26-7-2026" sheetId="17" r:id="R4aa818843c15495c"/>
    <sheet name="27-7-2026" sheetId="18" r:id="Rf6d3169880474429"/>
    <sheet name="28-7-2026" sheetId="19" r:id="R5e19d98fc7bd4581"/>
    <sheet name="29-7-2026" sheetId="20" r:id="Rbc1f1332de6747c5"/>
    <sheet name="30-7-2026" sheetId="21" r:id="R887e889de65d456b"/>
    <sheet name="31-7-2026" sheetId="22" r:id="Rfcc8b53d5a3345fb"/>
    <sheet name="Total July" sheetId="23" r:id="Rbd2456c903494a0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rlito"/>
      <color rgb="FF000000"/>
      <sz val="1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
<Relationships xmlns="http://schemas.openxmlformats.org/package/2006/relationships"><Relationship Id="R1678adb1284e4c99" Type="http://schemas.openxmlformats.org/officeDocument/2006/relationships/sharedStrings" Target="/xl/sharedStrings.xml" TargetMode="Internal"/><Relationship Id="R26eca2586fe64334" Type="http://schemas.openxmlformats.org/officeDocument/2006/relationships/worksheet" Target="/xl/worksheets/sheet11.xml" TargetMode="Internal"/><Relationship Id="R28f77ebb073943d9" Type="http://schemas.openxmlformats.org/officeDocument/2006/relationships/worksheet" Target="/xl/worksheets/sheet12.xml" TargetMode="Internal"/><Relationship Id="R3c5d3a64bcfb4249" Type="http://schemas.openxmlformats.org/officeDocument/2006/relationships/worksheet" Target="/xl/worksheets/sheet1.xml" TargetMode="Internal"/><Relationship Id="R4380f921f0044e58" Type="http://schemas.openxmlformats.org/officeDocument/2006/relationships/worksheet" Target="/xl/worksheets/sheet6.xml" TargetMode="Internal"/><Relationship Id="R4aa818843c15495c" Type="http://schemas.openxmlformats.org/officeDocument/2006/relationships/worksheet" Target="/xl/worksheets/sheet17.xml" TargetMode="Internal"/><Relationship Id="R4dce86d4c41f4bfd" Type="http://schemas.openxmlformats.org/officeDocument/2006/relationships/worksheet" Target="/xl/worksheets/sheet15.xml" TargetMode="Internal"/><Relationship Id="R55095b43305f4245" Type="http://schemas.openxmlformats.org/officeDocument/2006/relationships/worksheet" Target="/xl/worksheets/sheet16.xml" TargetMode="Internal"/><Relationship Id="R594c01d5f9684048" Type="http://schemas.openxmlformats.org/officeDocument/2006/relationships/worksheet" Target="/xl/worksheets/sheet2.xml" TargetMode="Internal"/><Relationship Id="R5e19d98fc7bd4581" Type="http://schemas.openxmlformats.org/officeDocument/2006/relationships/worksheet" Target="/xl/worksheets/sheet19.xml" TargetMode="Internal"/><Relationship Id="R631c58e165d54ea6" Type="http://schemas.openxmlformats.org/officeDocument/2006/relationships/worksheet" Target="/xl/worksheets/sheet7.xml" TargetMode="Internal"/><Relationship Id="R887e889de65d456b" Type="http://schemas.openxmlformats.org/officeDocument/2006/relationships/worksheet" Target="/xl/worksheets/sheet21.xml" TargetMode="Internal"/><Relationship Id="R897cd2792090492e" Type="http://schemas.openxmlformats.org/officeDocument/2006/relationships/worksheet" Target="/xl/worksheets/sheet5.xml" TargetMode="Internal"/><Relationship Id="Ra36913d9818746ad" Type="http://schemas.openxmlformats.org/officeDocument/2006/relationships/worksheet" Target="/xl/worksheets/sheet14.xml" TargetMode="Internal"/><Relationship Id="Rafc0f1a1d05c4af1" Type="http://schemas.openxmlformats.org/officeDocument/2006/relationships/worksheet" Target="/xl/worksheets/sheet9.xml" TargetMode="Internal"/><Relationship Id="Rafcd0b37881a49c2" Type="http://schemas.openxmlformats.org/officeDocument/2006/relationships/worksheet" Target="/xl/worksheets/sheet8.xml" TargetMode="Internal"/><Relationship Id="Rbc1f1332de6747c5" Type="http://schemas.openxmlformats.org/officeDocument/2006/relationships/worksheet" Target="/xl/worksheets/sheet20.xml" TargetMode="Internal"/><Relationship Id="Rbd2456c903494a07" Type="http://schemas.openxmlformats.org/officeDocument/2006/relationships/worksheet" Target="/xl/worksheets/sheet23.xml" TargetMode="Internal"/><Relationship Id="Rc156c4209b6648b9" Type="http://schemas.openxmlformats.org/officeDocument/2006/relationships/worksheet" Target="/xl/worksheets/sheet3.xml" TargetMode="Internal"/><Relationship Id="Rc5edb87dd5b94aec" Type="http://schemas.openxmlformats.org/officeDocument/2006/relationships/worksheet" Target="/xl/worksheets/sheet13.xml" TargetMode="Internal"/><Relationship Id="Rc86a87b7a9a14b96" Type="http://schemas.openxmlformats.org/officeDocument/2006/relationships/worksheet" Target="/xl/worksheets/sheet10.xml" TargetMode="Internal"/><Relationship Id="Rcd45b3bfda064fbe" Type="http://schemas.openxmlformats.org/officeDocument/2006/relationships/styles" Target="/xl/styles.xml" TargetMode="Internal"/><Relationship Id="Rd446c568b4844304" Type="http://schemas.openxmlformats.org/officeDocument/2006/relationships/worksheet" Target="/xl/worksheets/sheet4.xml" TargetMode="Internal"/><Relationship Id="Rf6d3169880474429" Type="http://schemas.openxmlformats.org/officeDocument/2006/relationships/worksheet" Target="/xl/worksheets/sheet18.xml" TargetMode="Internal"/><Relationship Id="Rf740791c195e44a5" Type="http://schemas.openxmlformats.org/officeDocument/2006/relationships/theme" Target="/xl/theme/theme1.xml" TargetMode="Internal"/><Relationship Id="Rfcc8b53d5a3345fb" Type="http://schemas.openxmlformats.org/officeDocument/2006/relationships/worksheet" Target="/xl/worksheets/sheet22.xml" TargetMode="Interna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Petit cash </v>
      </c>
      <c r="C3"/>
      <c r="D3"/>
      <c r="E3">
        <v>0</v>
      </c>
      <c r="F3"/>
    </row>
    <row r="4">
      <c r="A4"/>
      <c r="B4" t="str">
        <v>Cash In USD</v>
      </c>
      <c r="C4"/>
      <c r="D4"/>
      <c r="E4">
        <v>0</v>
      </c>
      <c r="F4"/>
    </row>
    <row r="5">
      <c r="A5"/>
      <c r="B5" t="str">
        <v>Oui Oui Nursery 43 X 12$</v>
      </c>
      <c r="C5"/>
      <c r="D5"/>
      <c r="E5">
        <v>520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Librarie Mallah ( Oui Oui Nursery) Workshop</v>
      </c>
      <c r="C10"/>
      <c r="D10"/>
      <c r="E10"/>
      <c r="F10">
        <v>55</v>
      </c>
    </row>
    <row r="11">
      <c r="A11"/>
      <c r="B11" t="str">
        <v>Librarie Mallah ( Oui Oui Nursery)</v>
      </c>
      <c r="C11"/>
      <c r="D11"/>
      <c r="E11"/>
      <c r="F11">
        <v>25</v>
      </c>
    </row>
    <row r="12">
      <c r="A12"/>
      <c r="B12" t="str">
        <v>Librarie Mallah ( Oui Oui Nursery Paint + clay )</v>
      </c>
      <c r="C12"/>
      <c r="D12"/>
      <c r="E12"/>
      <c r="F12">
        <v>23</v>
      </c>
    </row>
    <row r="13">
      <c r="A13"/>
      <c r="B13" t="str">
        <v>Nour Malek 4 Working H </v>
      </c>
      <c r="C13"/>
      <c r="D13"/>
      <c r="E13"/>
      <c r="F13">
        <v>16</v>
      </c>
    </row>
    <row r="14">
      <c r="A14"/>
      <c r="B14" t="str">
        <v>Angelina Khawand 4 Working H </v>
      </c>
      <c r="C14"/>
      <c r="D14"/>
      <c r="E14"/>
      <c r="F14">
        <v>16</v>
      </c>
    </row>
    <row r="15">
      <c r="A15"/>
      <c r="B15" t="str">
        <v>Nour Haybe 4 working H </v>
      </c>
      <c r="C15"/>
      <c r="D15"/>
      <c r="E15"/>
      <c r="F15">
        <v>16</v>
      </c>
    </row>
    <row r="16">
      <c r="A16"/>
      <c r="B16" t="str">
        <v>Tatyana Part Of Salay June</v>
      </c>
      <c r="C16"/>
      <c r="D16"/>
      <c r="E16"/>
      <c r="F16">
        <v>66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/>
      <c r="C28"/>
      <c r="D28"/>
      <c r="E28"/>
      <c r="F28">
        <v>0</v>
      </c>
    </row>
    <row r="29">
      <c r="A29"/>
      <c r="B29"/>
      <c r="C29"/>
      <c r="D29"/>
      <c r="E29"/>
      <c r="F29">
        <v>0</v>
      </c>
    </row>
    <row r="30">
      <c r="A30"/>
      <c r="B30"/>
      <c r="C30"/>
      <c r="D30"/>
      <c r="E30"/>
      <c r="F30">
        <v>0</v>
      </c>
    </row>
    <row r="31">
      <c r="A31"/>
      <c r="B31"/>
      <c r="C31"/>
      <c r="D31"/>
      <c r="E31"/>
      <c r="F31">
        <v>0</v>
      </c>
    </row>
    <row r="32">
      <c r="A32"/>
      <c r="B32" t="str">
        <v>Total</v>
      </c>
      <c r="C32"/>
      <c r="D32"/>
      <c r="E32" s="0">
        <f>E3+E4+E5+E6+E7+E8-F10-F12-F13-F14-F15-F16-F17-F11-F26-F27</f>
        <v>303</v>
      </c>
      <c r="F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Petit cash </v>
      </c>
      <c r="C3"/>
      <c r="D3"/>
      <c r="E3">
        <v>0</v>
      </c>
      <c r="F3"/>
      <c r="G3"/>
    </row>
    <row r="4">
      <c r="A4"/>
      <c r="B4" t="str">
        <v>Cash In USD</v>
      </c>
      <c r="C4"/>
      <c r="D4"/>
      <c r="E4">
        <v>238</v>
      </c>
      <c r="F4"/>
      <c r="G4"/>
    </row>
    <row r="5">
      <c r="A5"/>
      <c r="B5" t="str">
        <v>Birthday Reaven (8 Kids &amp; 18 Adult)</v>
      </c>
      <c r="C5"/>
      <c r="D5"/>
      <c r="E5">
        <v>434</v>
      </c>
      <c r="F5"/>
      <c r="G5"/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Le Marchet selectif (Water , Fruits, Cheese, Ice )</v>
      </c>
      <c r="C10"/>
      <c r="D10"/>
      <c r="E10"/>
      <c r="F10">
        <v>100</v>
      </c>
      <c r="G10" t="str">
        <v>Paid From Birthday D.P</v>
      </c>
    </row>
    <row r="11">
      <c r="A11"/>
      <c r="B11" t="str">
        <v>Karam Bek</v>
      </c>
      <c r="C11"/>
      <c r="D11"/>
      <c r="E11"/>
      <c r="F11">
        <v>48</v>
      </c>
      <c r="G11" t="str">
        <v>Paid From Birthday D.P</v>
      </c>
    </row>
    <row r="12">
      <c r="A12"/>
      <c r="B12" t="str">
        <v>Event Megastore (Workshops)</v>
      </c>
      <c r="C12"/>
      <c r="D12"/>
      <c r="E12"/>
      <c r="F12">
        <v>28</v>
      </c>
      <c r="G12" t="str">
        <v>Paid From Birthday D.P</v>
      </c>
    </row>
    <row r="13">
      <c r="A13"/>
      <c r="B13" t="str">
        <v>Librarie Mallah</v>
      </c>
      <c r="C13"/>
      <c r="D13"/>
      <c r="E13"/>
      <c r="F13">
        <v>22</v>
      </c>
      <c r="G13" t="str">
        <v>Paid From Birthday D.P</v>
      </c>
    </row>
    <row r="14">
      <c r="A14"/>
      <c r="B14" t="str">
        <v>Spinneys (kitchen)</v>
      </c>
      <c r="C14"/>
      <c r="D14"/>
      <c r="E14"/>
      <c r="F14">
        <v>67.73</v>
      </c>
      <c r="G14" t="str">
        <v>Paid From Birthday D.P</v>
      </c>
    </row>
    <row r="15">
      <c r="A15"/>
      <c r="B15" t="str">
        <v>Spinneys ( Workshop July 4-5)</v>
      </c>
      <c r="C15"/>
      <c r="D15"/>
      <c r="E15"/>
      <c r="F15">
        <v>37.27</v>
      </c>
      <c r="G15" t="str">
        <v>Paid From Birthday D.P</v>
      </c>
    </row>
    <row r="16">
      <c r="A16"/>
      <c r="B16" t="str">
        <v>Boucherie Ziad Burger</v>
      </c>
      <c r="C16"/>
      <c r="D16"/>
      <c r="E16"/>
      <c r="F16">
        <v>19.09</v>
      </c>
      <c r="G16"/>
    </row>
    <row r="17">
      <c r="A17"/>
      <c r="B17" t="str">
        <v>Boucherie Ziad Kebbe</v>
      </c>
      <c r="C17"/>
      <c r="D17"/>
      <c r="E17"/>
      <c r="F17">
        <v>56.35</v>
      </c>
      <c r="G17"/>
    </row>
    <row r="18">
      <c r="A18"/>
      <c r="B18" t="str">
        <v>Borgol Basal For Kebbe</v>
      </c>
      <c r="C18"/>
      <c r="D18"/>
      <c r="E18"/>
      <c r="F18">
        <v>5</v>
      </c>
      <c r="G18"/>
    </row>
    <row r="19">
      <c r="A19"/>
      <c r="B19" t="str">
        <v>Angelina 9 Working h </v>
      </c>
      <c r="C19"/>
      <c r="D19"/>
      <c r="E19"/>
      <c r="F19">
        <v>33</v>
      </c>
      <c r="G19"/>
    </row>
    <row r="20">
      <c r="A20"/>
      <c r="B20" t="str">
        <v>Nour Haybe 9 Working h </v>
      </c>
      <c r="C20"/>
      <c r="D20"/>
      <c r="E20"/>
      <c r="F20">
        <v>42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/>
      <c r="C28"/>
      <c r="D28"/>
      <c r="E28"/>
      <c r="F28">
        <v>0</v>
      </c>
      <c r="G28"/>
    </row>
    <row r="29">
      <c r="A29"/>
      <c r="B29"/>
      <c r="C29"/>
      <c r="D29"/>
      <c r="E29"/>
      <c r="F29">
        <v>0</v>
      </c>
      <c r="G29"/>
    </row>
    <row r="30">
      <c r="A30"/>
      <c r="B30"/>
      <c r="C30"/>
      <c r="D30"/>
      <c r="E30"/>
      <c r="F30">
        <v>0</v>
      </c>
      <c r="G30"/>
    </row>
    <row r="31">
      <c r="A31"/>
      <c r="B31"/>
      <c r="C31"/>
      <c r="D31"/>
      <c r="E31"/>
      <c r="F31">
        <v>0</v>
      </c>
      <c r="G31"/>
    </row>
    <row r="32">
      <c r="A32"/>
      <c r="B32" t="str">
        <v>Total</v>
      </c>
      <c r="C32"/>
      <c r="D32"/>
      <c r="E32" s="0">
        <f>E3+E4+E5+E6+E7+E8-F16-F17-F18-F19-F20-F21-F22-F23-F24-F25-F26-F27-F28-F29-F30-F31</f>
        <v>516.56</v>
      </c>
      <c r="F32"/>
      <c r="G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Petit cash </v>
      </c>
      <c r="C3"/>
      <c r="D3"/>
      <c r="E3">
        <v>16</v>
      </c>
      <c r="F3"/>
    </row>
    <row r="4">
      <c r="A4"/>
      <c r="B4" t="str">
        <v>Cash In USD</v>
      </c>
      <c r="C4"/>
      <c r="D4"/>
      <c r="E4">
        <v>751</v>
      </c>
      <c r="F4"/>
    </row>
    <row r="5">
      <c r="A5"/>
      <c r="B5" t="str">
        <v>Soils Permacultura Association Lebanon</v>
      </c>
      <c r="C5"/>
      <c r="D5"/>
      <c r="E5">
        <v>100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KaraM Biek </v>
      </c>
      <c r="C10"/>
      <c r="D10"/>
      <c r="E10"/>
      <c r="F10">
        <v>60</v>
      </c>
    </row>
    <row r="11">
      <c r="A11"/>
      <c r="B11" t="str">
        <v>Le Marchet selectif (Birthday &amp; Workshops )</v>
      </c>
      <c r="C11"/>
      <c r="D11"/>
      <c r="E11"/>
      <c r="F11">
        <v>112</v>
      </c>
    </row>
    <row r="12">
      <c r="A12"/>
      <c r="B12" t="str">
        <v>Le Marchet selectif (Birthday 5-7-2026 )</v>
      </c>
      <c r="C12"/>
      <c r="D12"/>
      <c r="E12"/>
      <c r="F12">
        <v>66</v>
      </c>
    </row>
    <row r="13">
      <c r="A13"/>
      <c r="B13" t="str">
        <v>Wooden Bakery Cake For Coffe Break</v>
      </c>
      <c r="C13"/>
      <c r="D13"/>
      <c r="E13"/>
      <c r="F13">
        <v>21</v>
      </c>
    </row>
    <row r="14">
      <c r="A14"/>
      <c r="B14" t="str">
        <v>Citern Water Toni Nehme </v>
      </c>
      <c r="C14"/>
      <c r="D14"/>
      <c r="E14"/>
      <c r="F14">
        <v>80</v>
      </c>
    </row>
    <row r="15">
      <c r="A15"/>
      <c r="B15" t="str">
        <v>Little Hands Garbage </v>
      </c>
      <c r="C15"/>
      <c r="D15"/>
      <c r="E15"/>
      <c r="F15">
        <v>30</v>
      </c>
    </row>
    <row r="16">
      <c r="A16"/>
      <c r="B16" t="str">
        <v>3alaf For Farm </v>
      </c>
      <c r="C16"/>
      <c r="D16"/>
      <c r="E16"/>
      <c r="F16">
        <v>32</v>
      </c>
    </row>
    <row r="17">
      <c r="A17"/>
      <c r="B17" t="str">
        <v>Plumber (Saleh)</v>
      </c>
      <c r="C17"/>
      <c r="D17"/>
      <c r="E17"/>
      <c r="F17">
        <v>15</v>
      </c>
    </row>
    <row r="18">
      <c r="A18"/>
      <c r="B18" t="str">
        <v>Manakich For Little Hands </v>
      </c>
      <c r="C18"/>
      <c r="D18"/>
      <c r="E18"/>
      <c r="F18">
        <v>15</v>
      </c>
    </row>
    <row r="19">
      <c r="A19"/>
      <c r="B19" t="str">
        <v>Wooden Bakery Burger</v>
      </c>
      <c r="C19"/>
      <c r="D19"/>
      <c r="E19"/>
      <c r="F19">
        <v>7.5</v>
      </c>
    </row>
    <row r="20">
      <c r="A20"/>
      <c r="B20" t="str">
        <v>Ramel</v>
      </c>
      <c r="C20"/>
      <c r="D20"/>
      <c r="E20"/>
      <c r="F20">
        <v>11</v>
      </c>
    </row>
    <row r="21">
      <c r="A21"/>
      <c r="B21" t="str">
        <v>Assab for Garden </v>
      </c>
      <c r="C21"/>
      <c r="D21"/>
      <c r="E21"/>
      <c r="F21">
        <v>7</v>
      </c>
    </row>
    <row r="22">
      <c r="A22"/>
      <c r="B22" t="str">
        <v>Panino Bakery Mini Burker </v>
      </c>
      <c r="C22"/>
      <c r="D22"/>
      <c r="E22"/>
      <c r="F22">
        <v>5.39</v>
      </c>
    </row>
    <row r="23">
      <c r="A23"/>
      <c r="B23" t="str">
        <v>Thaer Wood Fork, wood Spoon </v>
      </c>
      <c r="C23"/>
      <c r="D23"/>
      <c r="E23"/>
      <c r="F23">
        <v>48.5</v>
      </c>
    </row>
    <row r="24">
      <c r="A24"/>
      <c r="B24" t="str">
        <v>Nour Haybe 9 working H </v>
      </c>
      <c r="C24"/>
      <c r="D24"/>
      <c r="E24"/>
      <c r="F24">
        <v>42</v>
      </c>
    </row>
    <row r="25">
      <c r="A25"/>
      <c r="B25" t="str">
        <v>Cynthia hello 5 Working H</v>
      </c>
      <c r="C25"/>
      <c r="D25"/>
      <c r="E25"/>
      <c r="F25">
        <v>23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/>
      <c r="C28"/>
      <c r="D28"/>
      <c r="E28"/>
      <c r="F28">
        <v>0</v>
      </c>
    </row>
    <row r="29">
      <c r="A29"/>
      <c r="B29"/>
      <c r="C29"/>
      <c r="D29"/>
      <c r="E29"/>
      <c r="F29">
        <v>0</v>
      </c>
    </row>
    <row r="30">
      <c r="A30"/>
      <c r="B30"/>
      <c r="C30"/>
      <c r="D30"/>
      <c r="E30"/>
      <c r="F30">
        <v>0</v>
      </c>
    </row>
    <row r="31">
      <c r="A31"/>
      <c r="B31"/>
      <c r="C31"/>
      <c r="D31"/>
      <c r="E31"/>
      <c r="F31">
        <v>0</v>
      </c>
    </row>
    <row r="32">
      <c r="A32"/>
      <c r="B32" t="str">
        <v>Total</v>
      </c>
      <c r="C32"/>
      <c r="D32"/>
      <c r="E32" s="0">
        <f>E3+E4+E5+E6+E7+E8-F10-F11-F12-F13-F14-F15-F16-F17-F18-F19-F20-F21-F22-F23-F24-F25-F26-F27-F28-F29-F30-F31</f>
        <v>291.61</v>
      </c>
      <c r="F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95</v>
      </c>
      <c r="F3"/>
      <c r="G3"/>
    </row>
    <row r="4">
      <c r="A4"/>
      <c r="B4" t="str">
        <v>Walk-in Today: Cash In USD (10 Kids)</v>
      </c>
      <c r="C4"/>
      <c r="D4"/>
      <c r="E4">
        <v>241</v>
      </c>
      <c r="F4"/>
      <c r="G4"/>
    </row>
    <row r="5">
      <c r="A5"/>
      <c r="B5" t="str">
        <v>Birthday : Michel Saade </v>
      </c>
      <c r="C5"/>
      <c r="D5"/>
      <c r="E5">
        <v>750</v>
      </c>
      <c r="F5"/>
      <c r="G5"/>
    </row>
    <row r="6">
      <c r="A6"/>
      <c r="B6" t="str">
        <v>From Sanaa Exchange </v>
      </c>
      <c r="C6"/>
      <c r="D6"/>
      <c r="E6">
        <v>55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Le Marchet Selectif ( Fruits &amp; Veg , Fahem,Water)</v>
      </c>
      <c r="C10"/>
      <c r="D10"/>
      <c r="E10"/>
      <c r="F10">
        <v>41.32</v>
      </c>
      <c r="G10"/>
    </row>
    <row r="11">
      <c r="A11"/>
      <c r="B11" t="str">
        <v>Nour Haybe 4.5 Working H</v>
      </c>
      <c r="C11"/>
      <c r="D11"/>
      <c r="E11"/>
      <c r="F11">
        <v>24</v>
      </c>
      <c r="G11"/>
    </row>
    <row r="12">
      <c r="A12"/>
      <c r="B12" t="str">
        <v>Noknok Mozarella Sticks Birthday 5-7</v>
      </c>
      <c r="C12"/>
      <c r="D12"/>
      <c r="E12"/>
      <c r="F12">
        <v>22</v>
      </c>
      <c r="G12" t="str">
        <v>Expenses Birthday Michel Saade Paid From D.P </v>
      </c>
    </row>
    <row r="13">
      <c r="A13"/>
      <c r="B13" t="str">
        <v>Storium Saliba ( Birthday &amp; Bar )</v>
      </c>
      <c r="C13"/>
      <c r="D13"/>
      <c r="E13"/>
      <c r="F13">
        <v>28.79</v>
      </c>
      <c r="G13" t="str">
        <v>Expenses Birthday Michel Saade Paid From D.P </v>
      </c>
    </row>
    <row r="14">
      <c r="A14"/>
      <c r="B14" t="str">
        <v>Spinneys Birthday Food &amp; Supplies </v>
      </c>
      <c r="C14"/>
      <c r="D14"/>
      <c r="E14"/>
      <c r="F14">
        <v>171</v>
      </c>
      <c r="G14" t="str">
        <v>Expenses Birthday Michel Saade Paid From D.P </v>
      </c>
    </row>
    <row r="15">
      <c r="A15"/>
      <c r="B15" t="str">
        <v>Event Megastore ( Birthday Workshops )</v>
      </c>
      <c r="C15"/>
      <c r="D15"/>
      <c r="E15"/>
      <c r="F15">
        <v>79.31</v>
      </c>
      <c r="G15" t="str">
        <v>Expenses Birthday Michel Saade Paid From D.P </v>
      </c>
    </row>
    <row r="16">
      <c r="A16"/>
      <c r="B16" t="str">
        <v>Nancy Old Blance (Sent Via Wish BY Sanaa)</v>
      </c>
      <c r="C16"/>
      <c r="D16"/>
      <c r="E16"/>
      <c r="F16">
        <v>66</v>
      </c>
      <c r="G16"/>
    </row>
    <row r="17">
      <c r="A17"/>
      <c r="B17" t="str">
        <v>Miro Advance Full July Salary</v>
      </c>
      <c r="C17"/>
      <c r="D17"/>
      <c r="E17"/>
      <c r="F17">
        <v>600</v>
      </c>
      <c r="G17"/>
    </row>
    <row r="18">
      <c r="A18"/>
      <c r="B18" t="str">
        <v>Nour Malek Face Painting</v>
      </c>
      <c r="C18"/>
      <c r="D18"/>
      <c r="E18"/>
      <c r="F18">
        <v>15</v>
      </c>
      <c r="G18"/>
    </row>
    <row r="19">
      <c r="A19"/>
      <c r="B19" t="str">
        <v>Nour Malek 9 Working H + 8$ Old Balance </v>
      </c>
      <c r="C19"/>
      <c r="D19"/>
      <c r="E19"/>
      <c r="F19">
        <v>44</v>
      </c>
      <c r="G19"/>
    </row>
    <row r="20">
      <c r="A20"/>
      <c r="B20" t="str">
        <v>Angelina 9 Working H</v>
      </c>
      <c r="C20"/>
      <c r="D20"/>
      <c r="E20"/>
      <c r="F20">
        <v>30</v>
      </c>
      <c r="G20"/>
    </row>
    <row r="21">
      <c r="A21"/>
      <c r="B21" t="str">
        <v>Cynythia 9 Working H </v>
      </c>
      <c r="C21"/>
      <c r="D21"/>
      <c r="E21"/>
      <c r="F21">
        <v>35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/>
      <c r="C28"/>
      <c r="D28"/>
      <c r="E28"/>
      <c r="F28">
        <v>0</v>
      </c>
      <c r="G28"/>
    </row>
    <row r="29">
      <c r="A29"/>
      <c r="B29"/>
      <c r="C29"/>
      <c r="D29"/>
      <c r="E29"/>
      <c r="F29">
        <v>0</v>
      </c>
      <c r="G29"/>
    </row>
    <row r="30">
      <c r="A30"/>
      <c r="B30"/>
      <c r="C30"/>
      <c r="D30"/>
      <c r="E30"/>
      <c r="F30">
        <v>0</v>
      </c>
      <c r="G30"/>
    </row>
    <row r="31">
      <c r="A31"/>
      <c r="B31"/>
      <c r="C31"/>
      <c r="D31"/>
      <c r="E31"/>
      <c r="F31">
        <v>0</v>
      </c>
      <c r="G31"/>
    </row>
    <row r="32">
      <c r="A32"/>
      <c r="B32" t="str">
        <v>Total</v>
      </c>
      <c r="C32"/>
      <c r="D32"/>
      <c r="E32" s="0">
        <f>E3+E4+E5+E6+E7+E8-F10-F11-F16-F17-F18-F19-F20-F21-F22-F23-F24-F25-F26-F27-F28-F29-F30-F31</f>
        <v>285.68</v>
      </c>
      <c r="F32"/>
      <c r="G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  <c r="H1"/>
      <c r="I1"/>
      <c r="J1"/>
    </row>
    <row r="2">
      <c r="A2"/>
      <c r="B2"/>
      <c r="C2"/>
      <c r="D2"/>
      <c r="E2"/>
      <c r="F2"/>
      <c r="G2"/>
      <c r="H2"/>
      <c r="I2"/>
      <c r="J2"/>
    </row>
    <row r="3">
      <c r="A3"/>
      <c r="B3" t="str">
        <v>Opening Petit cash </v>
      </c>
      <c r="C3"/>
      <c r="D3"/>
      <c r="E3">
        <v>0</v>
      </c>
      <c r="F3"/>
      <c r="G3"/>
      <c r="H3"/>
      <c r="I3"/>
      <c r="J3"/>
    </row>
    <row r="4">
      <c r="A4"/>
      <c r="B4" t="str">
        <v>Walk-in Today: Cash In USD (10 Kids)</v>
      </c>
      <c r="C4"/>
      <c r="D4"/>
      <c r="E4">
        <v>0</v>
      </c>
      <c r="F4"/>
      <c r="G4"/>
      <c r="H4"/>
      <c r="I4"/>
      <c r="J4"/>
    </row>
    <row r="5">
      <c r="A5"/>
      <c r="B5" t="str">
        <v>Birthday : Dina Bekdach </v>
      </c>
      <c r="C5"/>
      <c r="D5"/>
      <c r="E5">
        <v>625</v>
      </c>
      <c r="F5"/>
      <c r="G5"/>
      <c r="H5"/>
      <c r="I5"/>
      <c r="J5"/>
    </row>
    <row r="6">
      <c r="A6"/>
      <c r="B6" t="str">
        <v>Garderie Bebe Sucre 60 kids </v>
      </c>
      <c r="C6"/>
      <c r="D6"/>
      <c r="E6">
        <v>760</v>
      </c>
      <c r="F6"/>
      <c r="G6"/>
      <c r="H6"/>
      <c r="I6"/>
      <c r="J6"/>
    </row>
    <row r="7">
      <c r="A7"/>
      <c r="B7"/>
      <c r="C7"/>
      <c r="D7"/>
      <c r="E7">
        <v>0</v>
      </c>
      <c r="F7"/>
      <c r="G7"/>
      <c r="H7"/>
      <c r="I7"/>
      <c r="J7"/>
    </row>
    <row r="8">
      <c r="A8"/>
      <c r="B8"/>
      <c r="C8"/>
      <c r="D8"/>
      <c r="E8">
        <v>0</v>
      </c>
      <c r="F8"/>
      <c r="G8"/>
      <c r="H8"/>
      <c r="I8"/>
      <c r="J8"/>
    </row>
    <row r="9">
      <c r="A9"/>
      <c r="B9"/>
      <c r="C9"/>
      <c r="D9"/>
      <c r="E9"/>
      <c r="F9"/>
      <c r="G9"/>
      <c r="H9"/>
      <c r="I9"/>
      <c r="J9"/>
    </row>
    <row r="10">
      <c r="A10"/>
      <c r="B10" t="str">
        <v>Kafta &amp; Taouk For Birthday </v>
      </c>
      <c r="C10"/>
      <c r="D10"/>
      <c r="E10"/>
      <c r="F10">
        <v>29</v>
      </c>
      <c r="G10" t="str">
        <v>Expenses Birthday Dina Bekdach Paid From D.P </v>
      </c>
      <c r="H10"/>
      <c r="I10"/>
      <c r="J10"/>
    </row>
    <row r="11">
      <c r="A11"/>
      <c r="B11" t="str">
        <v>Mallah Librarie </v>
      </c>
      <c r="C11"/>
      <c r="D11"/>
      <c r="E11"/>
      <c r="F11">
        <v>60</v>
      </c>
      <c r="G11" t="str">
        <v>Expenses Birthday Dina Bekdach Paid From D.P </v>
      </c>
      <c r="H11"/>
      <c r="I11"/>
      <c r="J11">
        <v>30</v>
      </c>
    </row>
    <row r="12">
      <c r="A12"/>
      <c r="B12" t="str">
        <v>Storium Kitchen &amp; Hygiene For Birthday </v>
      </c>
      <c r="C12"/>
      <c r="D12"/>
      <c r="E12"/>
      <c r="F12">
        <v>79</v>
      </c>
      <c r="G12" t="str">
        <v>Expenses Birthday Dina Bekdach Paid From D.P </v>
      </c>
      <c r="H12"/>
      <c r="I12"/>
      <c r="J12">
        <v>78</v>
      </c>
    </row>
    <row r="13">
      <c r="A13"/>
      <c r="B13"/>
      <c r="C13"/>
      <c r="D13"/>
      <c r="E13"/>
      <c r="F13">
        <v>0</v>
      </c>
      <c r="G13" t="str">
        <v>Expenses Birthday Dina Bekdach Paid From D.P </v>
      </c>
      <c r="H13"/>
      <c r="I13"/>
      <c r="J13"/>
    </row>
    <row r="14">
      <c r="A14"/>
      <c r="B14"/>
      <c r="C14"/>
      <c r="D14"/>
      <c r="E14"/>
      <c r="F14">
        <v>0</v>
      </c>
      <c r="G14" t="str">
        <v>Expenses Birthday Dina Bekdach Paid From D.P </v>
      </c>
      <c r="H14"/>
      <c r="I14"/>
      <c r="J14"/>
    </row>
    <row r="15">
      <c r="A15"/>
      <c r="B15" t="str">
        <v>Nour malek Visit Bebe Sucre </v>
      </c>
      <c r="C15"/>
      <c r="D15"/>
      <c r="E15"/>
      <c r="F15">
        <v>30</v>
      </c>
      <c r="G15"/>
      <c r="H15"/>
      <c r="I15"/>
      <c r="J15"/>
    </row>
    <row r="16">
      <c r="A16"/>
      <c r="B16" t="str">
        <v>Returned To Sanaa From Exchange </v>
      </c>
      <c r="C16"/>
      <c r="D16"/>
      <c r="E16"/>
      <c r="F16">
        <v>65</v>
      </c>
      <c r="G16"/>
      <c r="H16"/>
      <c r="I16"/>
      <c r="J16"/>
    </row>
    <row r="17">
      <c r="A17"/>
      <c r="B17" t="str">
        <v>Cynthia 4 Working H </v>
      </c>
      <c r="C17"/>
      <c r="D17"/>
      <c r="E17"/>
      <c r="F17">
        <v>24</v>
      </c>
      <c r="G17"/>
      <c r="H17"/>
      <c r="I17"/>
      <c r="J17"/>
    </row>
    <row r="18">
      <c r="A18"/>
      <c r="B18" t="str">
        <v>Nour Haybe Nursery Visite </v>
      </c>
      <c r="C18"/>
      <c r="D18"/>
      <c r="E18"/>
      <c r="F18">
        <v>54</v>
      </c>
      <c r="G18"/>
      <c r="H18"/>
      <c r="I18"/>
      <c r="J18"/>
    </row>
    <row r="19">
      <c r="A19"/>
      <c r="B19" t="str">
        <v>Moteur June 2026</v>
      </c>
      <c r="C19"/>
      <c r="D19"/>
      <c r="E19"/>
      <c r="F19">
        <v>300</v>
      </c>
      <c r="G19"/>
      <c r="H19"/>
      <c r="I19"/>
      <c r="J19"/>
    </row>
    <row r="20">
      <c r="A20"/>
      <c r="B20" t="str">
        <v>Panino </v>
      </c>
      <c r="C20"/>
      <c r="D20"/>
      <c r="E20"/>
      <c r="F20">
        <v>6.74</v>
      </c>
      <c r="G20"/>
      <c r="H20"/>
      <c r="I20"/>
      <c r="J20"/>
    </row>
    <row r="21">
      <c r="A21"/>
      <c r="B21" t="str">
        <v>Kassab Rabet For Garden</v>
      </c>
      <c r="C21"/>
      <c r="D21"/>
      <c r="E21"/>
      <c r="F21">
        <v>15</v>
      </c>
      <c r="G21"/>
      <c r="H21"/>
      <c r="I21"/>
      <c r="J21"/>
    </row>
    <row r="22">
      <c r="A22"/>
      <c r="B22"/>
      <c r="C22"/>
      <c r="D22"/>
      <c r="E22"/>
      <c r="F22">
        <v>0</v>
      </c>
      <c r="G22"/>
      <c r="H22"/>
      <c r="I22"/>
      <c r="J22"/>
    </row>
    <row r="23">
      <c r="A23"/>
      <c r="B23"/>
      <c r="C23"/>
      <c r="D23"/>
      <c r="E23"/>
      <c r="F23">
        <v>0</v>
      </c>
      <c r="G23"/>
      <c r="H23"/>
      <c r="I23"/>
      <c r="J23"/>
    </row>
    <row r="24">
      <c r="A24"/>
      <c r="B24"/>
      <c r="C24"/>
      <c r="D24"/>
      <c r="E24"/>
      <c r="F24">
        <v>0</v>
      </c>
      <c r="G24"/>
      <c r="H24"/>
      <c r="I24"/>
      <c r="J24"/>
    </row>
    <row r="25">
      <c r="A25"/>
      <c r="B25"/>
      <c r="C25"/>
      <c r="D25"/>
      <c r="E25"/>
      <c r="F25">
        <v>0</v>
      </c>
      <c r="G25"/>
      <c r="H25"/>
      <c r="I25"/>
      <c r="J25"/>
    </row>
    <row r="26">
      <c r="A26"/>
      <c r="B26"/>
      <c r="C26"/>
      <c r="D26"/>
      <c r="E26"/>
      <c r="F26">
        <v>0</v>
      </c>
      <c r="G26"/>
      <c r="H26"/>
      <c r="I26"/>
      <c r="J26"/>
    </row>
    <row r="27">
      <c r="A27"/>
      <c r="B27"/>
      <c r="C27"/>
      <c r="D27"/>
      <c r="E27"/>
      <c r="F27">
        <v>0</v>
      </c>
      <c r="G27"/>
      <c r="H27"/>
      <c r="I27"/>
      <c r="J27"/>
    </row>
    <row r="28">
      <c r="A28"/>
      <c r="B28"/>
      <c r="C28"/>
      <c r="D28"/>
      <c r="E28"/>
      <c r="F28">
        <v>0</v>
      </c>
      <c r="G28"/>
      <c r="H28"/>
      <c r="I28"/>
      <c r="J28"/>
    </row>
    <row r="29">
      <c r="A29"/>
      <c r="B29"/>
      <c r="C29"/>
      <c r="D29"/>
      <c r="E29"/>
      <c r="F29">
        <v>0</v>
      </c>
      <c r="G29"/>
      <c r="H29"/>
      <c r="I29"/>
      <c r="J29"/>
    </row>
    <row r="30">
      <c r="A30"/>
      <c r="B30"/>
      <c r="C30"/>
      <c r="D30"/>
      <c r="E30"/>
      <c r="F30">
        <v>0</v>
      </c>
      <c r="G30"/>
      <c r="H30"/>
      <c r="I30"/>
      <c r="J30"/>
    </row>
    <row r="31">
      <c r="A31"/>
      <c r="B31"/>
      <c r="C31"/>
      <c r="D31"/>
      <c r="E31"/>
      <c r="F31">
        <v>0</v>
      </c>
      <c r="G31"/>
      <c r="H31"/>
      <c r="I31"/>
      <c r="J31"/>
    </row>
    <row r="32">
      <c r="A32"/>
      <c r="B32" t="str">
        <v>Total</v>
      </c>
      <c r="C32"/>
      <c r="D32"/>
      <c r="E32">
        <f>E3+E4+E5+E6+E7+E8-F15-F16-F17-F18-F19-F20-F21</f>
        <v>890.26</v>
      </c>
      <c r="F32"/>
      <c r="G32"/>
      <c r="H32"/>
      <c r="I32"/>
      <c r="J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 </v>
      </c>
      <c r="C4"/>
      <c r="D4"/>
      <c r="E4">
        <v>0</v>
      </c>
      <c r="F4"/>
    </row>
    <row r="5">
      <c r="A5"/>
      <c r="B5" t="str">
        <v>Birthday Down Payment: Carine Bejani</v>
      </c>
      <c r="C5"/>
      <c r="D5"/>
      <c r="E5">
        <v>300</v>
      </c>
      <c r="F5"/>
    </row>
    <row r="6">
      <c r="A6"/>
      <c r="B6" t="str">
        <v>Garderie Bebe Sucre 44 kids </v>
      </c>
      <c r="C6"/>
      <c r="D6"/>
      <c r="E6">
        <v>528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Le Marche Selectif </v>
      </c>
      <c r="C10"/>
      <c r="D10"/>
      <c r="E10"/>
      <c r="F10">
        <v>82</v>
      </c>
    </row>
    <row r="11">
      <c r="A11"/>
      <c r="B11" t="str">
        <v>Nour Malek</v>
      </c>
      <c r="C11"/>
      <c r="D11"/>
      <c r="E11"/>
      <c r="F11">
        <v>16</v>
      </c>
    </row>
    <row r="12">
      <c r="A12"/>
      <c r="B12" t="str">
        <v>Angelina</v>
      </c>
      <c r="C12"/>
      <c r="D12"/>
      <c r="E12"/>
      <c r="F12">
        <v>24</v>
      </c>
    </row>
    <row r="13">
      <c r="A13"/>
      <c r="B13" t="str">
        <v>Nour Haybe</v>
      </c>
      <c r="C13"/>
      <c r="D13"/>
      <c r="E13"/>
      <c r="F13">
        <v>22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/>
      <c r="C28"/>
      <c r="D28"/>
      <c r="E28"/>
      <c r="F28">
        <v>0</v>
      </c>
    </row>
    <row r="29">
      <c r="A29"/>
      <c r="B29"/>
      <c r="C29"/>
      <c r="D29"/>
      <c r="E29"/>
      <c r="F29">
        <v>0</v>
      </c>
    </row>
    <row r="30">
      <c r="A30"/>
      <c r="B30"/>
      <c r="C30"/>
      <c r="D30"/>
      <c r="E30"/>
      <c r="F30">
        <v>0</v>
      </c>
    </row>
    <row r="31">
      <c r="A31"/>
      <c r="B31"/>
      <c r="C31"/>
      <c r="D31"/>
      <c r="E31"/>
      <c r="F31">
        <v>0</v>
      </c>
    </row>
    <row r="32">
      <c r="A32"/>
      <c r="B32" t="str">
        <v>Total</v>
      </c>
      <c r="C32"/>
      <c r="D32"/>
      <c r="E32">
        <f>E3+E4+E5+E6+E7+E8-F15-F16-F17-F18-F19-F20-F21-F10-F11-F12-F13</f>
        <v>684</v>
      </c>
      <c r="F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 (1 Kid)</v>
      </c>
      <c r="C4"/>
      <c r="D4"/>
      <c r="E4">
        <v>20</v>
      </c>
      <c r="F4"/>
      <c r="G4"/>
    </row>
    <row r="5">
      <c r="A5"/>
      <c r="B5" t="str">
        <v>Birthday : Vanessa Moussan</v>
      </c>
      <c r="C5"/>
      <c r="D5"/>
      <c r="E5">
        <v>755</v>
      </c>
      <c r="F5"/>
      <c r="G5"/>
    </row>
    <row r="6">
      <c r="A6"/>
      <c r="B6" t="str">
        <v>Garderie Maisonette Des petits Minous 32 kid</v>
      </c>
      <c r="C6"/>
      <c r="D6"/>
      <c r="E6">
        <v>384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Le Marche Selectif </v>
      </c>
      <c r="C10"/>
      <c r="D10"/>
      <c r="E10"/>
      <c r="F10">
        <v>146</v>
      </c>
      <c r="G10" t="str">
        <v>Expenses Birthday Greta Fadel Paid From D.P </v>
      </c>
    </row>
    <row r="11">
      <c r="A11"/>
      <c r="B11" t="str">
        <v>karam Beik </v>
      </c>
      <c r="C11"/>
      <c r="D11"/>
      <c r="E11"/>
      <c r="F11">
        <v>55</v>
      </c>
      <c r="G11" t="str">
        <v>Expenses Birthday Greta Fadel Paid From D.P </v>
      </c>
    </row>
    <row r="12">
      <c r="A12"/>
      <c r="B12" t="str">
        <v>Spinneys </v>
      </c>
      <c r="C12"/>
      <c r="D12"/>
      <c r="E12"/>
      <c r="F12">
        <v>188</v>
      </c>
      <c r="G12" t="str">
        <v>Expenses Birthday Vanessa Moussan Paid From D.P </v>
      </c>
    </row>
    <row r="13">
      <c r="A13"/>
      <c r="B13" t="str">
        <v>Boucherie Ziad Kebbe Burger for Birthday 10/11/12</v>
      </c>
      <c r="C13"/>
      <c r="D13"/>
      <c r="E13"/>
      <c r="F13">
        <v>170</v>
      </c>
      <c r="G13" t="str">
        <v>Expenses Birthday Vanessa Moussan Paid From D.P </v>
      </c>
    </row>
    <row r="14">
      <c r="A14"/>
      <c r="B14"/>
      <c r="C14"/>
      <c r="D14"/>
      <c r="E14"/>
      <c r="F14">
        <v>0</v>
      </c>
      <c r="G14" t="str">
        <v>Expenses Birthday Vanessa Moussan Paid From D.P </v>
      </c>
    </row>
    <row r="15">
      <c r="A15"/>
      <c r="B15"/>
      <c r="C15"/>
      <c r="D15"/>
      <c r="E15"/>
      <c r="F15">
        <v>0</v>
      </c>
      <c r="G15"/>
    </row>
    <row r="16">
      <c r="A16"/>
      <c r="B16" t="str">
        <v>Fairco International </v>
      </c>
      <c r="C16"/>
      <c r="D16"/>
      <c r="E16"/>
      <c r="F16">
        <v>40.9</v>
      </c>
      <c r="G16"/>
    </row>
    <row r="17">
      <c r="A17"/>
      <c r="B17" t="str">
        <v>Maliks (Print Out )</v>
      </c>
      <c r="C17"/>
      <c r="D17"/>
      <c r="E17"/>
      <c r="F17">
        <v>8.98</v>
      </c>
      <c r="G17"/>
    </row>
    <row r="18">
      <c r="A18"/>
      <c r="B18" t="str">
        <v>Returne To Sara Exchange</v>
      </c>
      <c r="C18"/>
      <c r="D18"/>
      <c r="E18"/>
      <c r="F18">
        <v>10</v>
      </c>
      <c r="G18"/>
    </row>
    <row r="19">
      <c r="A19"/>
      <c r="B19" t="str">
        <v>Citern water </v>
      </c>
      <c r="C19"/>
      <c r="D19"/>
      <c r="E19"/>
      <c r="F19">
        <v>88</v>
      </c>
      <c r="G19"/>
    </row>
    <row r="20">
      <c r="A20"/>
      <c r="B20" t="str">
        <v>Panino</v>
      </c>
      <c r="C20"/>
      <c r="D20"/>
      <c r="E20"/>
      <c r="F20">
        <v>21</v>
      </c>
      <c r="G20"/>
    </row>
    <row r="21">
      <c r="A21"/>
      <c r="B21" t="str">
        <v>Pharmacie Chantal</v>
      </c>
      <c r="C21"/>
      <c r="D21"/>
      <c r="E21"/>
      <c r="F21">
        <v>5</v>
      </c>
      <c r="G21"/>
    </row>
    <row r="22">
      <c r="A22"/>
      <c r="B22" t="str">
        <v>Nour Haybe</v>
      </c>
      <c r="C22"/>
      <c r="D22"/>
      <c r="E22"/>
      <c r="F22">
        <v>38</v>
      </c>
      <c r="G22"/>
    </row>
    <row r="23">
      <c r="A23"/>
      <c r="B23" t="str">
        <v>Nour Malek (Face Painting &amp; Working H)</v>
      </c>
      <c r="C23"/>
      <c r="D23"/>
      <c r="E23"/>
      <c r="F23">
        <v>40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/>
      <c r="C28"/>
      <c r="D28"/>
      <c r="E28"/>
      <c r="F28">
        <v>0</v>
      </c>
      <c r="G28"/>
    </row>
    <row r="29">
      <c r="A29"/>
      <c r="B29"/>
      <c r="C29"/>
      <c r="D29"/>
      <c r="E29"/>
      <c r="F29">
        <v>0</v>
      </c>
      <c r="G29"/>
    </row>
    <row r="30">
      <c r="A30"/>
      <c r="B30"/>
      <c r="C30"/>
      <c r="D30"/>
      <c r="E30"/>
      <c r="F30">
        <v>0</v>
      </c>
      <c r="G30"/>
    </row>
    <row r="31">
      <c r="A31"/>
      <c r="B31"/>
      <c r="C31"/>
      <c r="D31"/>
      <c r="E31"/>
      <c r="F31">
        <v>0</v>
      </c>
      <c r="G31"/>
    </row>
    <row r="32">
      <c r="A32"/>
      <c r="B32" t="str">
        <v>Total</v>
      </c>
      <c r="C32"/>
      <c r="D32"/>
      <c r="E32">
        <f>E3+E4+E5+E6+E7+E8-F15-F16-F17-F18-F19-F20-F21-F22-F23</f>
        <v>907.12</v>
      </c>
      <c r="F32"/>
      <c r="G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 (2 Kid </v>
      </c>
      <c r="C4"/>
      <c r="D4"/>
      <c r="E4">
        <v>453</v>
      </c>
      <c r="F4"/>
      <c r="G4"/>
    </row>
    <row r="5">
      <c r="A5"/>
      <c r="B5" t="str">
        <v>Birthday : Carine Fadel</v>
      </c>
      <c r="C5"/>
      <c r="D5"/>
      <c r="E5">
        <v>1335</v>
      </c>
      <c r="F5"/>
      <c r="G5"/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Le Marche Selectif </v>
      </c>
      <c r="C10"/>
      <c r="D10"/>
      <c r="E10"/>
      <c r="F10">
        <v>108</v>
      </c>
      <c r="G10" t="str">
        <v>Expenses Birthday Clara Khachan Paid From D.P </v>
      </c>
    </row>
    <row r="11">
      <c r="A11"/>
      <c r="B11" t="str">
        <v>karam Beik </v>
      </c>
      <c r="C11"/>
      <c r="D11"/>
      <c r="E11"/>
      <c r="F11">
        <v>63</v>
      </c>
      <c r="G11" t="str">
        <v>Expenses Birthday Clara Khachan Paid From D.P </v>
      </c>
    </row>
    <row r="12">
      <c r="A12"/>
      <c r="B12" t="str">
        <v>Storium </v>
      </c>
      <c r="C12"/>
      <c r="D12"/>
      <c r="E12"/>
      <c r="F12">
        <v>24</v>
      </c>
      <c r="G12" t="str">
        <v>Expenses Birthday Clara Khachan Paid From D.P </v>
      </c>
    </row>
    <row r="13">
      <c r="A13"/>
      <c r="B13" t="str">
        <v>Boucherie Ziad Kebbe Burger for Birthday 12</v>
      </c>
      <c r="C13"/>
      <c r="D13"/>
      <c r="E13"/>
      <c r="F13">
        <v>38</v>
      </c>
      <c r="G13" t="str">
        <v>Expenses Birthday Clara Khachan Paid From D.P </v>
      </c>
    </row>
    <row r="14">
      <c r="A14"/>
      <c r="B14"/>
      <c r="C14"/>
      <c r="D14"/>
      <c r="E14"/>
      <c r="F14">
        <v>0</v>
      </c>
      <c r="G14"/>
    </row>
    <row r="15">
      <c r="A15"/>
      <c r="B15"/>
      <c r="C15"/>
      <c r="D15"/>
      <c r="E15"/>
      <c r="F15">
        <v>0</v>
      </c>
      <c r="G15"/>
    </row>
    <row r="16">
      <c r="A16"/>
      <c r="B16" t="str">
        <v>Ets Melhem Yamine Marawih For Garden</v>
      </c>
      <c r="C16"/>
      <c r="D16"/>
      <c r="E16"/>
      <c r="F16">
        <v>160</v>
      </c>
      <c r="G16"/>
    </row>
    <row r="17">
      <c r="A17"/>
      <c r="B17" t="str">
        <v>Youssef Malek Tabali For Garden</v>
      </c>
      <c r="C17"/>
      <c r="D17"/>
      <c r="E17"/>
      <c r="F17">
        <v>120</v>
      </c>
      <c r="G17"/>
    </row>
    <row r="18">
      <c r="A18"/>
      <c r="B18" t="str">
        <v>Nour Malek Face Painting &amp; working H</v>
      </c>
      <c r="C18"/>
      <c r="D18"/>
      <c r="E18"/>
      <c r="F18">
        <v>52</v>
      </c>
      <c r="G18"/>
    </row>
    <row r="19">
      <c r="A19"/>
      <c r="B19" t="str">
        <v>Angelina</v>
      </c>
      <c r="C19"/>
      <c r="D19"/>
      <c r="E19"/>
      <c r="F19">
        <v>33</v>
      </c>
      <c r="G19"/>
    </row>
    <row r="20">
      <c r="A20"/>
      <c r="B20" t="str">
        <v>Nour Haybe</v>
      </c>
      <c r="C20"/>
      <c r="D20"/>
      <c r="E20"/>
      <c r="F20">
        <v>36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/>
      <c r="C28"/>
      <c r="D28"/>
      <c r="E28"/>
      <c r="F28">
        <v>0</v>
      </c>
      <c r="G28"/>
    </row>
    <row r="29">
      <c r="A29"/>
      <c r="B29"/>
      <c r="C29"/>
      <c r="D29"/>
      <c r="E29"/>
      <c r="F29">
        <v>0</v>
      </c>
      <c r="G29"/>
    </row>
    <row r="30">
      <c r="A30"/>
      <c r="B30"/>
      <c r="C30"/>
      <c r="D30"/>
      <c r="E30"/>
      <c r="F30">
        <v>0</v>
      </c>
      <c r="G30"/>
    </row>
    <row r="31">
      <c r="A31"/>
      <c r="B31"/>
      <c r="C31"/>
      <c r="D31"/>
      <c r="E31"/>
      <c r="F31">
        <v>0</v>
      </c>
      <c r="G31"/>
    </row>
    <row r="32">
      <c r="A32"/>
      <c r="B32" t="str">
        <v>Total</v>
      </c>
      <c r="C32"/>
      <c r="D32"/>
      <c r="E32" s="0">
        <f>E3+E4+E5+E6+E7+E8-F15-F16-F17-F18-F19-F20</f>
        <v>1387</v>
      </c>
      <c r="F32"/>
      <c r="G32"/>
    </row>
  </sheetData>
  <mergeCells count="30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 ( 9 Kids)</v>
      </c>
      <c r="C4"/>
      <c r="D4"/>
      <c r="E4">
        <v>369.5</v>
      </c>
      <c r="F4"/>
      <c r="G4"/>
    </row>
    <row r="5">
      <c r="A5"/>
      <c r="B5" t="str">
        <v>Birthday : Clara Khachan </v>
      </c>
      <c r="C5"/>
      <c r="D5"/>
      <c r="E5">
        <v>556</v>
      </c>
      <c r="F5"/>
      <c r="G5"/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Storium</v>
      </c>
      <c r="C10"/>
      <c r="D10"/>
      <c r="E10"/>
      <c r="F10">
        <v>56</v>
      </c>
      <c r="G10" t="str">
        <v>Expenses Birthday Clara Khachan Paid From D.P </v>
      </c>
    </row>
    <row r="11">
      <c r="A11"/>
      <c r="B11"/>
      <c r="C11"/>
      <c r="D11"/>
      <c r="E11"/>
      <c r="F11">
        <v>0</v>
      </c>
      <c r="G11"/>
    </row>
    <row r="12">
      <c r="A12"/>
      <c r="B12" t="str">
        <v>Nour Haybe </v>
      </c>
      <c r="C12"/>
      <c r="D12"/>
      <c r="E12"/>
      <c r="F12">
        <v>38</v>
      </c>
      <c r="G12"/>
    </row>
    <row r="13">
      <c r="A13"/>
      <c r="B13" t="str">
        <v>Nour Malek</v>
      </c>
      <c r="C13"/>
      <c r="D13"/>
      <c r="E13"/>
      <c r="F13">
        <v>32</v>
      </c>
      <c r="G13"/>
    </row>
    <row r="14">
      <c r="A14"/>
      <c r="B14" t="str">
        <v>Boucherie Ziad Mafroume &amp; Burgers </v>
      </c>
      <c r="C14"/>
      <c r="D14"/>
      <c r="E14"/>
      <c r="F14">
        <v>50</v>
      </c>
      <c r="G14"/>
    </row>
    <row r="15">
      <c r="A15"/>
      <c r="B15" t="str">
        <v>Prodel Disposables</v>
      </c>
      <c r="C15"/>
      <c r="D15"/>
      <c r="E15"/>
      <c r="F15">
        <v>160</v>
      </c>
      <c r="G15"/>
    </row>
    <row r="16">
      <c r="A16"/>
      <c r="B16" t="str">
        <v>Cynthia Helo</v>
      </c>
      <c r="C16"/>
      <c r="D16"/>
      <c r="E16"/>
      <c r="F16">
        <v>25</v>
      </c>
      <c r="G16"/>
    </row>
    <row r="17">
      <c r="A17"/>
      <c r="B17"/>
      <c r="C17"/>
      <c r="D17"/>
      <c r="E17"/>
      <c r="F17">
        <v>0</v>
      </c>
      <c r="G17"/>
    </row>
    <row r="18">
      <c r="A18"/>
      <c r="B18"/>
      <c r="C18"/>
      <c r="D18"/>
      <c r="E18"/>
      <c r="F18">
        <v>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 s="0">
        <f>E3+E4+E5+E6+E7+E8-F11-F12-F13-F14-F15-F16-F17-F18</f>
        <v>620.5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Garderie Le Cocon 43 kids</v>
      </c>
      <c r="C5"/>
      <c r="D5"/>
      <c r="E5">
        <v>516</v>
      </c>
      <c r="F5"/>
    </row>
    <row r="6">
      <c r="A6"/>
      <c r="B6" t="str">
        <v>Maria Abi Nader D.P Birthday 27/7</v>
      </c>
      <c r="C6"/>
      <c r="D6"/>
      <c r="E6">
        <v>300</v>
      </c>
      <c r="F6"/>
    </row>
    <row r="7">
      <c r="A7"/>
      <c r="B7" t="str">
        <v>Lara El Khoury D.P Birthday 25/7</v>
      </c>
      <c r="C7"/>
      <c r="D7"/>
      <c r="E7">
        <v>300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Nour Malek</v>
      </c>
      <c r="C10"/>
      <c r="D10"/>
      <c r="E10"/>
      <c r="F10">
        <v>11</v>
      </c>
    </row>
    <row r="11">
      <c r="A11"/>
      <c r="B11"/>
      <c r="C11"/>
      <c r="D11"/>
      <c r="E11"/>
      <c r="F11">
        <v>0</v>
      </c>
    </row>
    <row r="12">
      <c r="A12"/>
      <c r="B12"/>
      <c r="C12"/>
      <c r="D12"/>
      <c r="E12"/>
      <c r="F12">
        <v>0</v>
      </c>
    </row>
    <row r="13">
      <c r="A13"/>
      <c r="B13"/>
      <c r="C13"/>
      <c r="D13"/>
      <c r="E13"/>
      <c r="F13">
        <v>0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 s="0">
        <f>E3+E4+E5+E6+E7+E8-F11-F12-F13-F14-F15-F16-F17-F18</f>
        <v>1116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</v>
      </c>
      <c r="C4"/>
      <c r="D4"/>
      <c r="E4">
        <v>284</v>
      </c>
      <c r="F4"/>
      <c r="G4"/>
    </row>
    <row r="5">
      <c r="A5"/>
      <c r="B5" t="str">
        <v>Alex Khoury (Katherine)</v>
      </c>
      <c r="C5"/>
      <c r="D5"/>
      <c r="E5">
        <v>520</v>
      </c>
      <c r="F5"/>
      <c r="G5"/>
    </row>
    <row r="6">
      <c r="A6"/>
      <c r="B6" t="str">
        <v>Marianne Tamim D.P Birthday 24/7</v>
      </c>
      <c r="C6"/>
      <c r="D6"/>
      <c r="E6">
        <v>300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EDL Little Hands </v>
      </c>
      <c r="C10"/>
      <c r="D10"/>
      <c r="E10"/>
      <c r="F10">
        <v>52</v>
      </c>
      <c r="G10"/>
    </row>
    <row r="11">
      <c r="A11"/>
      <c r="B11" t="str">
        <v>Citern water For Little Hands</v>
      </c>
      <c r="C11"/>
      <c r="D11"/>
      <c r="E11"/>
      <c r="F11">
        <v>80</v>
      </c>
      <c r="G11"/>
    </row>
    <row r="12">
      <c r="A12"/>
      <c r="B12" t="str">
        <v>Allaf For Farm </v>
      </c>
      <c r="C12"/>
      <c r="D12"/>
      <c r="E12"/>
      <c r="F12">
        <v>98</v>
      </c>
      <c r="G12"/>
    </row>
    <row r="13">
      <c r="A13"/>
      <c r="B13" t="str">
        <v>Karam Beik</v>
      </c>
      <c r="C13"/>
      <c r="D13"/>
      <c r="E13"/>
      <c r="F13">
        <v>53</v>
      </c>
      <c r="G13"/>
    </row>
    <row r="14">
      <c r="A14"/>
      <c r="B14" t="str">
        <v>Event Megastore </v>
      </c>
      <c r="C14"/>
      <c r="D14"/>
      <c r="E14"/>
      <c r="F14">
        <v>5.1</v>
      </c>
      <c r="G14"/>
    </row>
    <row r="15">
      <c r="A15"/>
      <c r="B15" t="str">
        <v>Lteif Market </v>
      </c>
      <c r="C15"/>
      <c r="D15"/>
      <c r="E15"/>
      <c r="F15">
        <v>9.17</v>
      </c>
      <c r="G15"/>
    </row>
    <row r="16">
      <c r="A16"/>
      <c r="B16" t="str">
        <v>zaatar Manakich</v>
      </c>
      <c r="C16"/>
      <c r="D16"/>
      <c r="E16"/>
      <c r="F16">
        <v>18</v>
      </c>
      <c r="G16"/>
    </row>
    <row r="17">
      <c r="A17"/>
      <c r="B17" t="str">
        <v>spray Rash </v>
      </c>
      <c r="C17"/>
      <c r="D17"/>
      <c r="E17"/>
      <c r="F17">
        <v>7</v>
      </c>
      <c r="G17"/>
    </row>
    <row r="18">
      <c r="A18"/>
      <c r="B18" t="str">
        <v>Nour Haybe </v>
      </c>
      <c r="C18"/>
      <c r="D18"/>
      <c r="E18"/>
      <c r="F18">
        <v>26</v>
      </c>
      <c r="G18"/>
    </row>
    <row r="19">
      <c r="A19"/>
      <c r="B19" t="str">
        <v>Nour Malek Face Painting </v>
      </c>
      <c r="C19"/>
      <c r="D19"/>
      <c r="E19"/>
      <c r="F19">
        <v>30</v>
      </c>
      <c r="G19"/>
    </row>
    <row r="20">
      <c r="A20"/>
      <c r="B20" t="str">
        <v>Cynthia Hello </v>
      </c>
      <c r="C20"/>
      <c r="D20"/>
      <c r="E20"/>
      <c r="F20">
        <v>26</v>
      </c>
      <c r="G20"/>
    </row>
    <row r="21">
      <c r="A21"/>
      <c r="B21" t="str">
        <v>Spinneys Birthday </v>
      </c>
      <c r="C21"/>
      <c r="D21"/>
      <c r="E21"/>
      <c r="F21">
        <v>300</v>
      </c>
      <c r="G21" t="str">
        <v>Expenses Birthday Alex Khoury Paid From D.P </v>
      </c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>
        <f>E3+E4+E5+E6+E7+E8-F11-F12-F13-F14-F15-F16-F17-F18-F10-F19-F20</f>
        <v>699.73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</v>
      </c>
      <c r="C4"/>
      <c r="D4"/>
      <c r="E4">
        <v>330</v>
      </c>
      <c r="F4"/>
      <c r="G4"/>
    </row>
    <row r="5">
      <c r="A5"/>
      <c r="B5" t="str">
        <v>Cynthia Mattar</v>
      </c>
      <c r="C5"/>
      <c r="D5"/>
      <c r="E5">
        <v>1150</v>
      </c>
      <c r="F5"/>
      <c r="G5" t="str">
        <v>N.B (D.P 300 $ of this Birthday Used For May Salaries)</v>
      </c>
    </row>
    <row r="6">
      <c r="A6"/>
      <c r="B6" t="str">
        <v>From Uyoussef Exchange </v>
      </c>
      <c r="C6"/>
      <c r="D6"/>
      <c r="E6">
        <v>50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Le Marchet Selectif </v>
      </c>
      <c r="C10"/>
      <c r="D10"/>
      <c r="E10"/>
      <c r="F10">
        <v>200</v>
      </c>
      <c r="G10"/>
    </row>
    <row r="11">
      <c r="A11"/>
      <c r="B11" t="str">
        <v>Karam Bek </v>
      </c>
      <c r="C11"/>
      <c r="D11"/>
      <c r="E11"/>
      <c r="F11">
        <v>75</v>
      </c>
      <c r="G11"/>
    </row>
    <row r="12">
      <c r="A12"/>
      <c r="B12" t="str">
        <v>spinneys </v>
      </c>
      <c r="C12"/>
      <c r="D12"/>
      <c r="E12"/>
      <c r="F12">
        <v>51</v>
      </c>
      <c r="G12"/>
    </row>
    <row r="13">
      <c r="A13"/>
      <c r="B13" t="str">
        <v>spinneys </v>
      </c>
      <c r="C13"/>
      <c r="D13"/>
      <c r="E13"/>
      <c r="F13">
        <v>20</v>
      </c>
      <c r="G13"/>
    </row>
    <row r="14">
      <c r="A14"/>
      <c r="B14" t="str">
        <v>Storium </v>
      </c>
      <c r="C14"/>
      <c r="D14"/>
      <c r="E14"/>
      <c r="F14">
        <v>20</v>
      </c>
      <c r="G14"/>
    </row>
    <row r="15">
      <c r="A15"/>
      <c r="B15" t="str">
        <v>firco International ( Workshop birthday )</v>
      </c>
      <c r="C15"/>
      <c r="D15"/>
      <c r="E15"/>
      <c r="F15">
        <v>104</v>
      </c>
      <c r="G15"/>
    </row>
    <row r="16">
      <c r="A16"/>
      <c r="B16" t="str">
        <v>Spinneys </v>
      </c>
      <c r="C16"/>
      <c r="D16"/>
      <c r="E16"/>
      <c r="F16">
        <v>75</v>
      </c>
      <c r="G16"/>
    </row>
    <row r="17">
      <c r="A17"/>
      <c r="B17" t="str">
        <v>Balkis </v>
      </c>
      <c r="C17"/>
      <c r="D17"/>
      <c r="E17"/>
      <c r="F17">
        <v>22.5</v>
      </c>
      <c r="G17"/>
    </row>
    <row r="18">
      <c r="A18"/>
      <c r="B18" t="str">
        <v>Mallah Clay </v>
      </c>
      <c r="C18"/>
      <c r="D18"/>
      <c r="E18"/>
      <c r="F18">
        <v>15</v>
      </c>
      <c r="G18"/>
    </row>
    <row r="19">
      <c r="A19"/>
      <c r="B19" t="str">
        <v>Mallah Printing Clay Workshops </v>
      </c>
      <c r="C19"/>
      <c r="D19"/>
      <c r="E19"/>
      <c r="F19">
        <v>77</v>
      </c>
      <c r="G19"/>
    </row>
    <row r="20">
      <c r="A20"/>
      <c r="B20" t="str">
        <v>Disposbles </v>
      </c>
      <c r="C20"/>
      <c r="D20"/>
      <c r="E20"/>
      <c r="F20">
        <v>135</v>
      </c>
      <c r="G20"/>
    </row>
    <row r="21">
      <c r="A21"/>
      <c r="B21" t="str">
        <v>Luigi, Boucherie Ziad </v>
      </c>
      <c r="C21"/>
      <c r="D21"/>
      <c r="E21"/>
      <c r="F21">
        <v>200</v>
      </c>
      <c r="G21" t="str">
        <v>Expenses D.P Birthday Heather 200 $ Sunday </v>
      </c>
    </row>
    <row r="22">
      <c r="A22"/>
      <c r="B22" t="str">
        <v>Cynthia Hello</v>
      </c>
      <c r="C22"/>
      <c r="D22"/>
      <c r="E22"/>
      <c r="F22">
        <v>31</v>
      </c>
      <c r="G22"/>
    </row>
    <row r="23">
      <c r="A23"/>
      <c r="B23" t="str">
        <v>Luccianna </v>
      </c>
      <c r="C23"/>
      <c r="D23"/>
      <c r="E23"/>
      <c r="F23">
        <v>21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>
        <f>E3+E4+E5+E6+E7+E8-F11-F12-F13-F14-F15-F16-F17-F18-F10-F19-F20-F22-F23</f>
        <v>683.5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</v>
      </c>
      <c r="C4"/>
      <c r="D4"/>
      <c r="E4">
        <v>77</v>
      </c>
      <c r="F4"/>
      <c r="G4"/>
    </row>
    <row r="5">
      <c r="A5"/>
      <c r="B5" t="str">
        <v>Heather </v>
      </c>
      <c r="C5"/>
      <c r="D5"/>
      <c r="E5">
        <v>525</v>
      </c>
      <c r="F5"/>
      <c r="G5" t="str">
        <v>Sent Via Wish To Sanaa </v>
      </c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Nour Haybe </v>
      </c>
      <c r="C10"/>
      <c r="D10"/>
      <c r="E10"/>
      <c r="F10">
        <v>22</v>
      </c>
      <c r="G10"/>
    </row>
    <row r="11">
      <c r="A11"/>
      <c r="B11" t="str">
        <v>Noura Malek </v>
      </c>
      <c r="C11"/>
      <c r="D11"/>
      <c r="E11"/>
      <c r="F11">
        <v>20</v>
      </c>
      <c r="G11"/>
    </row>
    <row r="12">
      <c r="A12"/>
      <c r="B12" t="str">
        <v>nancy hello</v>
      </c>
      <c r="C12"/>
      <c r="D12"/>
      <c r="E12"/>
      <c r="F12">
        <v>31</v>
      </c>
      <c r="G12"/>
    </row>
    <row r="13">
      <c r="A13"/>
      <c r="B13"/>
      <c r="C13"/>
      <c r="D13"/>
      <c r="E13"/>
      <c r="F13">
        <v>0</v>
      </c>
      <c r="G13"/>
    </row>
    <row r="14">
      <c r="A14"/>
      <c r="B14"/>
      <c r="C14"/>
      <c r="D14"/>
      <c r="E14"/>
      <c r="F14">
        <v>0</v>
      </c>
      <c r="G14"/>
    </row>
    <row r="15">
      <c r="A15"/>
      <c r="B15"/>
      <c r="C15"/>
      <c r="D15"/>
      <c r="E15"/>
      <c r="F15">
        <v>0</v>
      </c>
      <c r="G15"/>
    </row>
    <row r="16">
      <c r="A16"/>
      <c r="B16"/>
      <c r="C16"/>
      <c r="D16"/>
      <c r="E16"/>
      <c r="F16">
        <v>0</v>
      </c>
      <c r="G16"/>
    </row>
    <row r="17">
      <c r="A17"/>
      <c r="B17"/>
      <c r="C17"/>
      <c r="D17"/>
      <c r="E17"/>
      <c r="F17">
        <v>0</v>
      </c>
      <c r="G17"/>
    </row>
    <row r="18">
      <c r="A18"/>
      <c r="B18"/>
      <c r="C18"/>
      <c r="D18"/>
      <c r="E18"/>
      <c r="F18">
        <v>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>
        <f>E3+E4+E5+E6+E7+E8-F11-F12-F13-F14-F15-F16-F17-F18-F10-F19-F20-F22-F23</f>
        <v>529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Rabieh Summer Camp</v>
      </c>
      <c r="C5"/>
      <c r="D5"/>
      <c r="E5">
        <v>660</v>
      </c>
      <c r="F5"/>
    </row>
    <row r="6">
      <c r="A6"/>
      <c r="B6" t="str">
        <v>laura Ajamian 31/July Birthday D.P</v>
      </c>
      <c r="C6"/>
      <c r="D6"/>
      <c r="E6">
        <v>100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Event Megastore </v>
      </c>
      <c r="C10"/>
      <c r="D10"/>
      <c r="E10"/>
      <c r="F10">
        <v>27.3</v>
      </c>
    </row>
    <row r="11">
      <c r="A11"/>
      <c r="B11" t="str">
        <v>Librarie Mallah </v>
      </c>
      <c r="C11"/>
      <c r="D11"/>
      <c r="E11"/>
      <c r="F11">
        <v>29.88</v>
      </c>
    </row>
    <row r="12">
      <c r="A12"/>
      <c r="B12" t="str">
        <v>le marchet Selectif (Old Invoices)</v>
      </c>
      <c r="C12"/>
      <c r="D12"/>
      <c r="E12"/>
      <c r="F12">
        <v>160</v>
      </c>
    </row>
    <row r="13">
      <c r="A13"/>
      <c r="B13" t="str">
        <v>Spray Hacharat</v>
      </c>
      <c r="C13"/>
      <c r="D13"/>
      <c r="E13"/>
      <c r="F13">
        <v>1.22</v>
      </c>
    </row>
    <row r="14">
      <c r="A14"/>
      <c r="B14" t="str">
        <v>Ramel Mgharbal</v>
      </c>
      <c r="C14"/>
      <c r="D14"/>
      <c r="E14"/>
      <c r="F14">
        <v>26</v>
      </c>
    </row>
    <row r="15">
      <c r="A15"/>
      <c r="B15" t="str">
        <v>Zaatar</v>
      </c>
      <c r="C15"/>
      <c r="D15"/>
      <c r="E15"/>
      <c r="F15">
        <v>6.8</v>
      </c>
    </row>
    <row r="16">
      <c r="A16"/>
      <c r="B16" t="str">
        <v>Internet Little Hands</v>
      </c>
      <c r="C16"/>
      <c r="D16"/>
      <c r="E16"/>
      <c r="F16">
        <v>100</v>
      </c>
    </row>
    <row r="17">
      <c r="A17"/>
      <c r="B17" t="str">
        <v>Thaer </v>
      </c>
      <c r="C17"/>
      <c r="D17"/>
      <c r="E17"/>
      <c r="F17">
        <v>37</v>
      </c>
    </row>
    <row r="18">
      <c r="A18"/>
      <c r="B18" t="str">
        <v>Ghaz Little Hands</v>
      </c>
      <c r="C18"/>
      <c r="D18"/>
      <c r="E18"/>
      <c r="F18">
        <v>48</v>
      </c>
    </row>
    <row r="19">
      <c r="A19"/>
      <c r="B19" t="str">
        <v>Return Tou Youssef </v>
      </c>
      <c r="C19"/>
      <c r="D19"/>
      <c r="E19"/>
      <c r="F19">
        <v>50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E3+E4+E5+E6+E7+E8-F11-F12-F13-F14-F15-F16-F17-F18-F10-F19-F20-F22-F23</f>
        <v>273.8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73</v>
      </c>
      <c r="F3"/>
      <c r="G3"/>
    </row>
    <row r="4">
      <c r="A4"/>
      <c r="B4" t="str">
        <v>Walk-in Today: Cash In USD</v>
      </c>
      <c r="C4"/>
      <c r="D4"/>
      <c r="E4">
        <v>228</v>
      </c>
      <c r="F4"/>
      <c r="G4"/>
    </row>
    <row r="5">
      <c r="A5"/>
      <c r="B5" t="str">
        <v>Birthday Marianne Tamim</v>
      </c>
      <c r="C5"/>
      <c r="D5"/>
      <c r="E5">
        <v>450</v>
      </c>
      <c r="F5"/>
      <c r="G5"/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/>
      <c r="F9"/>
      <c r="G9"/>
    </row>
    <row r="10">
      <c r="A10"/>
      <c r="B10" t="str">
        <v>Angelina Working H</v>
      </c>
      <c r="C10"/>
      <c r="D10"/>
      <c r="E10"/>
      <c r="F10">
        <v>21</v>
      </c>
      <c r="G10"/>
    </row>
    <row r="11">
      <c r="A11"/>
      <c r="B11" t="str">
        <v>Nour Haybe </v>
      </c>
      <c r="C11"/>
      <c r="D11"/>
      <c r="E11"/>
      <c r="F11">
        <v>26</v>
      </c>
      <c r="G11"/>
    </row>
    <row r="12">
      <c r="A12"/>
      <c r="B12" t="str">
        <v>Mariam Fegir</v>
      </c>
      <c r="C12"/>
      <c r="D12"/>
      <c r="E12"/>
      <c r="F12">
        <v>15</v>
      </c>
      <c r="G12"/>
    </row>
    <row r="13">
      <c r="A13"/>
      <c r="B13" t="str">
        <v>Spinneys Food supplies For Birthdays 24-25-26</v>
      </c>
      <c r="C13"/>
      <c r="D13"/>
      <c r="E13"/>
      <c r="F13">
        <v>400</v>
      </c>
      <c r="G13" t="str">
        <v>From Depposit Miriam Tamim &amp; Lara Khoury</v>
      </c>
    </row>
    <row r="14">
      <c r="A14"/>
      <c r="B14" t="str">
        <v>Event Megastore </v>
      </c>
      <c r="C14"/>
      <c r="D14"/>
      <c r="E14"/>
      <c r="F14">
        <v>78.54</v>
      </c>
      <c r="G14" t="str">
        <v>From Depposit Miriam Tamim &amp; Lara Khoury</v>
      </c>
    </row>
    <row r="15">
      <c r="A15"/>
      <c r="B15" t="str">
        <v>Event Megastore </v>
      </c>
      <c r="C15"/>
      <c r="D15"/>
      <c r="E15"/>
      <c r="F15">
        <v>18</v>
      </c>
      <c r="G15" t="str">
        <v>From Depposit Miriam Tamim &amp; Lara Khoury</v>
      </c>
    </row>
    <row r="16">
      <c r="A16"/>
      <c r="B16" t="str">
        <v>Le Charcutier </v>
      </c>
      <c r="C16"/>
      <c r="D16"/>
      <c r="E16"/>
      <c r="F16">
        <v>46.22</v>
      </c>
      <c r="G16" t="str">
        <v>From Depposit Miriam Tamim &amp; Lara Khoury</v>
      </c>
    </row>
    <row r="17">
      <c r="A17"/>
      <c r="B17" t="str">
        <v>Librarie Mallah </v>
      </c>
      <c r="C17"/>
      <c r="D17"/>
      <c r="E17"/>
      <c r="F17">
        <v>47.4</v>
      </c>
      <c r="G17" t="str">
        <v>From Depposit Miriam Tamim &amp; Lara Khoury</v>
      </c>
    </row>
    <row r="18">
      <c r="A18"/>
      <c r="B18" t="str">
        <v>Le Marchet Selectif </v>
      </c>
      <c r="C18"/>
      <c r="D18"/>
      <c r="E18"/>
      <c r="F18">
        <v>100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 s="0">
        <f>E3+E4+E5+E6+E7+E8-F11-F12-F18-F10-F19-F20-F22-F23</f>
        <v>589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/>
      <c r="B3" t="str">
        <v>Opening Petit cash </v>
      </c>
      <c r="C3"/>
      <c r="D3"/>
      <c r="E3">
        <v>39</v>
      </c>
      <c r="F3"/>
      <c r="G3"/>
      <c r="H3"/>
    </row>
    <row r="4">
      <c r="A4"/>
      <c r="B4" t="str">
        <v>Walk-in Today: Cash In USD</v>
      </c>
      <c r="C4"/>
      <c r="D4"/>
      <c r="E4">
        <v>191</v>
      </c>
      <c r="F4"/>
      <c r="G4"/>
      <c r="H4"/>
    </row>
    <row r="5">
      <c r="A5"/>
      <c r="B5" t="str">
        <v>Birthday Lara Khoury </v>
      </c>
      <c r="C5"/>
      <c r="D5"/>
      <c r="E5">
        <v>650</v>
      </c>
      <c r="F5"/>
      <c r="G5"/>
      <c r="H5"/>
    </row>
    <row r="6">
      <c r="A6"/>
      <c r="B6"/>
      <c r="C6"/>
      <c r="D6"/>
      <c r="E6">
        <v>0</v>
      </c>
      <c r="F6"/>
      <c r="G6"/>
      <c r="H6"/>
    </row>
    <row r="7">
      <c r="A7"/>
      <c r="B7"/>
      <c r="C7"/>
      <c r="D7"/>
      <c r="E7">
        <v>0</v>
      </c>
      <c r="F7"/>
      <c r="G7"/>
      <c r="H7"/>
    </row>
    <row r="8">
      <c r="A8"/>
      <c r="B8"/>
      <c r="C8"/>
      <c r="D8"/>
      <c r="E8">
        <v>0</v>
      </c>
      <c r="F8"/>
      <c r="G8"/>
      <c r="H8"/>
    </row>
    <row r="9">
      <c r="A9"/>
      <c r="B9"/>
      <c r="C9"/>
      <c r="D9"/>
      <c r="E9"/>
      <c r="F9"/>
      <c r="G9"/>
      <c r="H9"/>
    </row>
    <row r="10">
      <c r="A10"/>
      <c r="B10" t="str">
        <v>Thaer </v>
      </c>
      <c r="C10"/>
      <c r="D10"/>
      <c r="E10"/>
      <c r="F10">
        <v>100</v>
      </c>
      <c r="G10"/>
      <c r="H10">
        <v>35</v>
      </c>
    </row>
    <row r="11">
      <c r="A11"/>
      <c r="B11" t="str">
        <v>Citern water </v>
      </c>
      <c r="C11"/>
      <c r="D11"/>
      <c r="E11"/>
      <c r="F11">
        <v>80</v>
      </c>
      <c r="G11"/>
      <c r="H11">
        <v>38</v>
      </c>
    </row>
    <row r="12">
      <c r="A12"/>
      <c r="B12" t="str">
        <v>Nour Hyabe </v>
      </c>
      <c r="C12"/>
      <c r="D12"/>
      <c r="E12"/>
      <c r="F12">
        <v>38</v>
      </c>
      <c r="G12"/>
      <c r="H12"/>
    </row>
    <row r="13">
      <c r="A13"/>
      <c r="B13" t="str">
        <v>Le Marchet Selectif </v>
      </c>
      <c r="C13"/>
      <c r="D13"/>
      <c r="E13"/>
      <c r="F13">
        <v>195</v>
      </c>
      <c r="G13" t="str">
        <v>From Depposit </v>
      </c>
      <c r="H13"/>
    </row>
    <row r="14">
      <c r="A14"/>
      <c r="B14" t="str">
        <v>Amal Burgers For 2 days</v>
      </c>
      <c r="C14"/>
      <c r="D14"/>
      <c r="E14"/>
      <c r="F14">
        <v>125</v>
      </c>
      <c r="G14" t="str">
        <v>From Depposit </v>
      </c>
      <c r="H14"/>
    </row>
    <row r="15">
      <c r="A15"/>
      <c r="B15" t="str">
        <v>karam Bake For 2 Days </v>
      </c>
      <c r="C15"/>
      <c r="D15"/>
      <c r="E15"/>
      <c r="F15">
        <v>162</v>
      </c>
      <c r="G15" t="str">
        <v>From Depposit </v>
      </c>
      <c r="H15"/>
    </row>
    <row r="16">
      <c r="A16"/>
      <c r="B16" t="str">
        <v>Cynthia Hello</v>
      </c>
      <c r="C16"/>
      <c r="D16"/>
      <c r="E16"/>
      <c r="F16">
        <v>35</v>
      </c>
      <c r="G16"/>
      <c r="H16"/>
    </row>
    <row r="17">
      <c r="A17"/>
      <c r="B17" t="str">
        <v>karam bake Old Inv</v>
      </c>
      <c r="C17"/>
      <c r="D17"/>
      <c r="E17"/>
      <c r="F17">
        <v>49</v>
      </c>
      <c r="G17"/>
      <c r="H17"/>
    </row>
    <row r="18">
      <c r="A18"/>
      <c r="B18"/>
      <c r="C18"/>
      <c r="D18"/>
      <c r="E18"/>
      <c r="F18">
        <v>0</v>
      </c>
      <c r="G18"/>
      <c r="H18"/>
    </row>
    <row r="19">
      <c r="A19"/>
      <c r="B19"/>
      <c r="C19"/>
      <c r="D19"/>
      <c r="E19"/>
      <c r="F19">
        <v>0</v>
      </c>
      <c r="G19"/>
      <c r="H19"/>
    </row>
    <row r="20">
      <c r="A20"/>
      <c r="B20"/>
      <c r="C20"/>
      <c r="D20"/>
      <c r="E20"/>
      <c r="F20">
        <v>0</v>
      </c>
      <c r="G20"/>
      <c r="H20"/>
    </row>
    <row r="21">
      <c r="A21"/>
      <c r="B21"/>
      <c r="C21"/>
      <c r="D21"/>
      <c r="E21"/>
      <c r="F21">
        <v>0</v>
      </c>
      <c r="G21"/>
      <c r="H21"/>
    </row>
    <row r="22">
      <c r="A22"/>
      <c r="B22"/>
      <c r="C22"/>
      <c r="D22"/>
      <c r="E22"/>
      <c r="F22">
        <v>0</v>
      </c>
      <c r="G22"/>
      <c r="H22"/>
    </row>
    <row r="23">
      <c r="A23"/>
      <c r="B23"/>
      <c r="C23"/>
      <c r="D23"/>
      <c r="E23"/>
      <c r="F23">
        <v>0</v>
      </c>
      <c r="G23"/>
      <c r="H23"/>
    </row>
    <row r="24">
      <c r="A24"/>
      <c r="B24"/>
      <c r="C24"/>
      <c r="D24"/>
      <c r="E24"/>
      <c r="F24">
        <v>0</v>
      </c>
      <c r="G24"/>
      <c r="H24"/>
    </row>
    <row r="25">
      <c r="A25"/>
      <c r="B25"/>
      <c r="C25"/>
      <c r="D25"/>
      <c r="E25"/>
      <c r="F25">
        <v>0</v>
      </c>
      <c r="G25"/>
      <c r="H25"/>
    </row>
    <row r="26">
      <c r="A26"/>
      <c r="B26"/>
      <c r="C26"/>
      <c r="D26"/>
      <c r="E26"/>
      <c r="F26">
        <v>0</v>
      </c>
      <c r="G26"/>
      <c r="H26"/>
    </row>
    <row r="27">
      <c r="A27"/>
      <c r="B27"/>
      <c r="C27"/>
      <c r="D27"/>
      <c r="E27"/>
      <c r="F27">
        <v>0</v>
      </c>
      <c r="G27"/>
      <c r="H27"/>
    </row>
    <row r="28">
      <c r="A28"/>
      <c r="B28" t="str">
        <v>Total</v>
      </c>
      <c r="C28"/>
      <c r="D28"/>
      <c r="E28" s="0">
        <f>E3+E4+E5+E6+E7+E8-F11-F12-F18-F10-F19-F20-F22-F23-F16-F17</f>
        <v>578</v>
      </c>
      <c r="F28"/>
      <c r="G28"/>
      <c r="H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75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Birthday Lara Khoury </v>
      </c>
      <c r="C5"/>
      <c r="D5"/>
      <c r="E5">
        <v>1690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Le amrchet Selectif </v>
      </c>
      <c r="C10"/>
      <c r="D10"/>
      <c r="E10"/>
      <c r="F10">
        <v>150</v>
      </c>
    </row>
    <row r="11">
      <c r="A11"/>
      <c r="B11" t="str">
        <v>Geryes Malek </v>
      </c>
      <c r="C11"/>
      <c r="D11"/>
      <c r="E11"/>
      <c r="F11">
        <v>200</v>
      </c>
    </row>
    <row r="12">
      <c r="A12"/>
      <c r="B12" t="str">
        <v>Spinneys </v>
      </c>
      <c r="C12"/>
      <c r="D12"/>
      <c r="E12"/>
      <c r="F12">
        <v>160</v>
      </c>
    </row>
    <row r="13">
      <c r="A13"/>
      <c r="B13" t="str">
        <v>Kitchen Tools</v>
      </c>
      <c r="C13"/>
      <c r="D13"/>
      <c r="E13"/>
      <c r="F13">
        <v>165</v>
      </c>
    </row>
    <row r="14">
      <c r="A14"/>
      <c r="B14" t="str">
        <v>Lara Cleaning Extra 5 H</v>
      </c>
      <c r="C14"/>
      <c r="D14"/>
      <c r="E14"/>
      <c r="F14">
        <v>25</v>
      </c>
    </row>
    <row r="15">
      <c r="A15"/>
      <c r="B15" t="str">
        <v>Nour Malek </v>
      </c>
      <c r="C15"/>
      <c r="D15"/>
      <c r="E15"/>
      <c r="F15">
        <v>22</v>
      </c>
    </row>
    <row r="16">
      <c r="A16"/>
      <c r="B16" t="str">
        <v>Lucciana </v>
      </c>
      <c r="C16"/>
      <c r="D16"/>
      <c r="E16"/>
      <c r="F16">
        <v>17</v>
      </c>
    </row>
    <row r="17">
      <c r="A17"/>
      <c r="B17" t="str">
        <v>Cynthia Hello</v>
      </c>
      <c r="C17"/>
      <c r="D17"/>
      <c r="E17"/>
      <c r="F17">
        <v>25</v>
      </c>
    </row>
    <row r="18">
      <c r="A18"/>
      <c r="B18" t="str">
        <v>Nour Haybe </v>
      </c>
      <c r="C18"/>
      <c r="D18"/>
      <c r="E18"/>
      <c r="F18">
        <v>28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E3+E4+E5+E6+E7+E8-F10-F11-F12-F13-F14-F15-F16-F17-F18</f>
        <v>973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Birthday Athenas</v>
      </c>
      <c r="C5"/>
      <c r="D5"/>
      <c r="E5">
        <v>1477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Le Marchet Selectif </v>
      </c>
      <c r="C10"/>
      <c r="D10"/>
      <c r="E10"/>
      <c r="F10">
        <v>112</v>
      </c>
    </row>
    <row r="11">
      <c r="A11"/>
      <c r="B11" t="str">
        <v>Karam Bake</v>
      </c>
      <c r="C11"/>
      <c r="D11"/>
      <c r="E11"/>
      <c r="F11">
        <v>75</v>
      </c>
    </row>
    <row r="12">
      <c r="A12"/>
      <c r="B12" t="str">
        <v>Fairco </v>
      </c>
      <c r="C12"/>
      <c r="D12"/>
      <c r="E12"/>
      <c r="F12">
        <v>16</v>
      </c>
    </row>
    <row r="13">
      <c r="A13"/>
      <c r="B13" t="str">
        <v>Boucherie Ziad 4 days Birthday’s</v>
      </c>
      <c r="C13"/>
      <c r="D13"/>
      <c r="E13"/>
      <c r="F13">
        <v>118</v>
      </c>
    </row>
    <row r="14">
      <c r="A14"/>
      <c r="B14" t="str">
        <v>Fairco </v>
      </c>
      <c r="C14"/>
      <c r="D14"/>
      <c r="E14"/>
      <c r="F14">
        <v>26</v>
      </c>
    </row>
    <row r="15">
      <c r="A15"/>
      <c r="B15" t="str">
        <v>Firas ( Youssef)</v>
      </c>
      <c r="C15"/>
      <c r="D15"/>
      <c r="E15"/>
      <c r="F15">
        <v>200</v>
      </c>
    </row>
    <row r="16">
      <c r="A16"/>
      <c r="B16" t="str">
        <v>Nour Haybe</v>
      </c>
      <c r="C16"/>
      <c r="D16"/>
      <c r="E16"/>
      <c r="F16">
        <v>22</v>
      </c>
    </row>
    <row r="17">
      <c r="A17"/>
      <c r="B17" t="str">
        <v>Mariam </v>
      </c>
      <c r="C17"/>
      <c r="D17"/>
      <c r="E17"/>
      <c r="F17">
        <v>18</v>
      </c>
    </row>
    <row r="18">
      <c r="A18"/>
      <c r="B18" t="str">
        <v>Amal Asdvance Salary August </v>
      </c>
      <c r="C18"/>
      <c r="D18"/>
      <c r="E18"/>
      <c r="F18">
        <v>100</v>
      </c>
    </row>
    <row r="19">
      <c r="A19"/>
      <c r="B19" t="str">
        <v>Fady Tanjeed (11*12$) +36$</v>
      </c>
      <c r="C19"/>
      <c r="D19"/>
      <c r="E19"/>
      <c r="F19">
        <v>168</v>
      </c>
    </row>
    <row r="20">
      <c r="A20"/>
      <c r="B20" t="str">
        <v>Desposables </v>
      </c>
      <c r="C20"/>
      <c r="D20"/>
      <c r="E20"/>
      <c r="F20">
        <v>50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E3+E4+E5+E6+E7+E8-F10-F11-F12-F13-F14-F15-F16-F17-F18-F19-F20</f>
        <v>572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Dent De Lait Nursery</v>
      </c>
      <c r="C5"/>
      <c r="D5"/>
      <c r="E5">
        <v>204</v>
      </c>
      <c r="F5"/>
    </row>
    <row r="6">
      <c r="A6"/>
      <c r="B6" t="str">
        <v>Exchange From marleine ( 25$ karam Bake Yesterday &amp; 6 dent de Lait )</v>
      </c>
      <c r="C6"/>
      <c r="D6"/>
      <c r="E6">
        <v>31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Le Marchet Selectif </v>
      </c>
      <c r="C10"/>
      <c r="D10"/>
      <c r="E10"/>
      <c r="F10">
        <v>30</v>
      </c>
    </row>
    <row r="11">
      <c r="A11"/>
      <c r="B11" t="str">
        <v>Thaer (Orange)</v>
      </c>
      <c r="C11"/>
      <c r="D11"/>
      <c r="E11"/>
      <c r="F11">
        <v>20</v>
      </c>
    </row>
    <row r="12">
      <c r="A12"/>
      <c r="B12"/>
      <c r="C12"/>
      <c r="D12"/>
      <c r="E12"/>
      <c r="F12">
        <v>0</v>
      </c>
    </row>
    <row r="13">
      <c r="A13"/>
      <c r="B13"/>
      <c r="C13"/>
      <c r="D13"/>
      <c r="E13"/>
      <c r="F13">
        <v>0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E3+E4+E5+E6+E7+E8-F10-F11-F12-F13-F14-F15-F16-F17-F18-F19-F20</f>
        <v>185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0</v>
      </c>
      <c r="F3"/>
      <c r="G3"/>
    </row>
    <row r="4">
      <c r="A4"/>
      <c r="B4" t="str">
        <v>Walk-in Today: Cash In USD</v>
      </c>
      <c r="C4"/>
      <c r="D4"/>
      <c r="E4">
        <v>0</v>
      </c>
      <c r="F4"/>
      <c r="G4"/>
    </row>
    <row r="5">
      <c r="A5"/>
      <c r="B5" t="str">
        <v>Birthday Carine Ghatas </v>
      </c>
      <c r="C5"/>
      <c r="D5"/>
      <c r="E5">
        <v>950</v>
      </c>
      <c r="F5"/>
      <c r="G5"/>
    </row>
    <row r="6">
      <c r="A6"/>
      <c r="B6"/>
      <c r="C6"/>
      <c r="D6"/>
      <c r="E6">
        <v>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 t="str">
        <v/>
      </c>
    </row>
    <row r="9">
      <c r="A9"/>
      <c r="B9"/>
      <c r="C9"/>
      <c r="D9"/>
      <c r="E9"/>
      <c r="F9"/>
      <c r="G9"/>
    </row>
    <row r="10">
      <c r="A10"/>
      <c r="B10" t="str">
        <v>Fairco International </v>
      </c>
      <c r="C10"/>
      <c r="D10"/>
      <c r="E10"/>
      <c r="F10">
        <v>83.36</v>
      </c>
      <c r="G10" t="str">
        <v>From Birthday Deposit Carine Ghatas </v>
      </c>
    </row>
    <row r="11">
      <c r="A11"/>
      <c r="B11" t="str">
        <v>Storium </v>
      </c>
      <c r="C11"/>
      <c r="D11"/>
      <c r="E11"/>
      <c r="F11">
        <v>144.66</v>
      </c>
      <c r="G11" t="str">
        <v>From Birthday Deposit Carine Ghatas </v>
      </c>
    </row>
    <row r="12">
      <c r="A12"/>
      <c r="B12" t="str">
        <v>Spinneys </v>
      </c>
      <c r="C12"/>
      <c r="D12"/>
      <c r="E12"/>
      <c r="F12">
        <v>69</v>
      </c>
      <c r="G12" t="str">
        <v>From Birthday Deposit Carine Ghatas </v>
      </c>
    </row>
    <row r="13">
      <c r="A13"/>
      <c r="B13" t="str">
        <v>Boucherie Ziad </v>
      </c>
      <c r="C13"/>
      <c r="D13"/>
      <c r="E13"/>
      <c r="F13">
        <v>75</v>
      </c>
      <c r="G13"/>
    </row>
    <row r="14">
      <c r="A14"/>
      <c r="B14" t="str">
        <v>Nour Malek </v>
      </c>
      <c r="C14"/>
      <c r="D14"/>
      <c r="E14"/>
      <c r="F14">
        <v>25</v>
      </c>
      <c r="G14"/>
    </row>
    <row r="15">
      <c r="A15"/>
      <c r="B15" t="str">
        <v>Lucciana </v>
      </c>
      <c r="C15"/>
      <c r="D15"/>
      <c r="E15"/>
      <c r="F15">
        <v>21</v>
      </c>
      <c r="G15"/>
    </row>
    <row r="16">
      <c r="A16"/>
      <c r="B16" t="str">
        <v>Nour Haybe </v>
      </c>
      <c r="C16"/>
      <c r="D16"/>
      <c r="E16"/>
      <c r="F16">
        <v>26</v>
      </c>
      <c r="G16"/>
    </row>
    <row r="17">
      <c r="A17"/>
      <c r="B17" t="str">
        <v>Firas (Youssef)</v>
      </c>
      <c r="C17"/>
      <c r="D17"/>
      <c r="E17"/>
      <c r="F17">
        <v>20</v>
      </c>
      <c r="G17"/>
    </row>
    <row r="18">
      <c r="A18"/>
      <c r="B18" t="str">
        <v>Exchange Returned to Marleine </v>
      </c>
      <c r="C18"/>
      <c r="D18"/>
      <c r="E18"/>
      <c r="F18">
        <v>30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 s="0">
        <f>E3+E4+E5+E6+E7+E8-F13-F14-F15-F16-F17-F18-F19-F20</f>
        <v>753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Dent De Lait</v>
      </c>
      <c r="C5"/>
      <c r="D5"/>
      <c r="E5">
        <v>228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Panino Bakery </v>
      </c>
      <c r="C10"/>
      <c r="D10"/>
      <c r="E10"/>
      <c r="F10">
        <v>6.74</v>
      </c>
    </row>
    <row r="11">
      <c r="A11"/>
      <c r="B11" t="str">
        <v>Asab For Garden</v>
      </c>
      <c r="C11"/>
      <c r="D11"/>
      <c r="E11"/>
      <c r="F11">
        <v>15</v>
      </c>
    </row>
    <row r="12">
      <c r="A12"/>
      <c r="B12" t="str">
        <v>Aalaf </v>
      </c>
      <c r="C12"/>
      <c r="D12"/>
      <c r="E12"/>
      <c r="F12">
        <v>76</v>
      </c>
    </row>
    <row r="13">
      <c r="A13"/>
      <c r="B13"/>
      <c r="C13"/>
      <c r="D13"/>
      <c r="E13"/>
      <c r="F13">
        <v>0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E3+E4+E5+E6+E7+E8-F13-F14-F15-F16-F17-F18-F19-F20-F10-F11-F12</f>
        <v>130.26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150</v>
      </c>
      <c r="F3"/>
      <c r="G3"/>
    </row>
    <row r="4">
      <c r="A4"/>
      <c r="B4" t="str">
        <v>Walk-in Today: Cash In USD</v>
      </c>
      <c r="C4"/>
      <c r="D4"/>
      <c r="E4">
        <v>166</v>
      </c>
      <c r="F4"/>
      <c r="G4"/>
    </row>
    <row r="5">
      <c r="A5"/>
      <c r="B5" t="str">
        <v>Le Petit Paradis</v>
      </c>
      <c r="C5"/>
      <c r="D5"/>
      <c r="E5">
        <v>336</v>
      </c>
      <c r="F5"/>
      <c r="G5"/>
    </row>
    <row r="6">
      <c r="A6"/>
      <c r="B6" t="str">
        <v>Yara Haber D.P Birthday 28-8</v>
      </c>
      <c r="C6"/>
      <c r="D6"/>
      <c r="E6">
        <v>300</v>
      </c>
      <c r="F6"/>
      <c r="G6"/>
    </row>
    <row r="7">
      <c r="A7"/>
      <c r="B7" t="str">
        <v>Mia Ajamian Birthday </v>
      </c>
      <c r="C7"/>
      <c r="D7"/>
      <c r="E7">
        <v>185</v>
      </c>
      <c r="F7"/>
      <c r="G7"/>
    </row>
    <row r="8">
      <c r="A8"/>
      <c r="B8"/>
      <c r="C8"/>
      <c r="D8"/>
      <c r="E8">
        <v>0</v>
      </c>
      <c r="F8"/>
      <c r="G8" t="str">
        <v/>
      </c>
    </row>
    <row r="9">
      <c r="A9"/>
      <c r="B9"/>
      <c r="C9"/>
      <c r="D9"/>
      <c r="E9"/>
      <c r="F9"/>
      <c r="G9"/>
    </row>
    <row r="10">
      <c r="A10"/>
      <c r="B10" t="str">
        <v>Nour Haybe </v>
      </c>
      <c r="C10"/>
      <c r="D10"/>
      <c r="E10"/>
      <c r="F10">
        <v>22</v>
      </c>
      <c r="G10"/>
    </row>
    <row r="11">
      <c r="A11"/>
      <c r="B11" t="str">
        <v>Cynthia Hello</v>
      </c>
      <c r="C11"/>
      <c r="D11"/>
      <c r="E11"/>
      <c r="F11">
        <v>20</v>
      </c>
      <c r="G11"/>
    </row>
    <row r="12">
      <c r="A12"/>
      <c r="B12" t="str">
        <v>Le Marchet Selectif (Birthday 29-7 &amp; Birthday 31-7)</v>
      </c>
      <c r="C12"/>
      <c r="D12"/>
      <c r="E12"/>
      <c r="F12">
        <v>104</v>
      </c>
      <c r="G12"/>
    </row>
    <row r="13">
      <c r="A13"/>
      <c r="B13" t="str">
        <v>Nour Malek</v>
      </c>
      <c r="C13"/>
      <c r="D13"/>
      <c r="E13"/>
      <c r="F13">
        <v>24</v>
      </c>
      <c r="G13"/>
    </row>
    <row r="14">
      <c r="A14"/>
      <c r="B14" t="str">
        <v>Lucciana </v>
      </c>
      <c r="C14"/>
      <c r="D14"/>
      <c r="E14"/>
      <c r="F14">
        <v>20</v>
      </c>
      <c r="G14"/>
    </row>
    <row r="15">
      <c r="A15"/>
      <c r="B15" t="str">
        <v>Librarie Mallah </v>
      </c>
      <c r="C15"/>
      <c r="D15"/>
      <c r="E15"/>
      <c r="F15">
        <v>95</v>
      </c>
      <c r="G15" t="str">
        <v>From Depposit Kylies &amp; Laura Ajamian</v>
      </c>
    </row>
    <row r="16">
      <c r="A16"/>
      <c r="B16" t="str">
        <v>Spinneys </v>
      </c>
      <c r="C16"/>
      <c r="D16"/>
      <c r="E16"/>
      <c r="F16">
        <v>35</v>
      </c>
      <c r="G16" t="str">
        <v>From Depposit Kylies &amp; Laura Ajamian</v>
      </c>
    </row>
    <row r="17">
      <c r="A17"/>
      <c r="B17" t="str">
        <v>Spinneys </v>
      </c>
      <c r="C17"/>
      <c r="D17"/>
      <c r="E17"/>
      <c r="F17">
        <v>64</v>
      </c>
      <c r="G17" t="str">
        <v>From Depposit Kylies &amp; Laura Ajamian</v>
      </c>
    </row>
    <row r="18">
      <c r="A18"/>
      <c r="B18"/>
      <c r="C18"/>
      <c r="D18"/>
      <c r="E18"/>
      <c r="F18">
        <v>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/>
      <c r="C21"/>
      <c r="D21"/>
      <c r="E21"/>
      <c r="F21">
        <v>0</v>
      </c>
      <c r="G21"/>
    </row>
    <row r="22">
      <c r="A22"/>
      <c r="B22"/>
      <c r="C22"/>
      <c r="D22"/>
      <c r="E22"/>
      <c r="F22">
        <v>0</v>
      </c>
      <c r="G22"/>
    </row>
    <row r="23">
      <c r="A23"/>
      <c r="B23"/>
      <c r="C23"/>
      <c r="D23"/>
      <c r="E23"/>
      <c r="F23">
        <v>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 s="0">
        <f>E3+E4+E5+E6+E7+E8-F13-F14-F18-F19-F20-F10-F11-F12</f>
        <v>947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G265" sqref="G265"/>
    </sheetView>
  </sheetViews>
  <sheetFormatPr baseColWidth="8" defaultRowHeight="15"/>
  <sheetData>
    <row r="1">
      <c r="A1"/>
      <c r="B1" t="str">
        <v>Description</v>
      </c>
      <c r="C1" t="str">
        <v>In$ </v>
      </c>
      <c r="D1" t="str">
        <v>Exp $</v>
      </c>
      <c r="E1" t="str">
        <v>Invoice Already Paid From D.P Birthday </v>
      </c>
      <c r="F1" t="str">
        <v>Cash With sanaa From sales </v>
      </c>
      <c r="G1" t="str">
        <v>Down Payment Birthday &amp; Event </v>
      </c>
      <c r="H1" t="str">
        <v>Total$</v>
      </c>
    </row>
    <row r="2">
      <c r="A2" t="str">
        <v>1-7-2026</v>
      </c>
      <c r="B2" t="str">
        <v>Remaining Cash From June 2026</v>
      </c>
      <c r="C2">
        <v>450</v>
      </c>
      <c r="D2"/>
      <c r="E2"/>
      <c r="F2" t="str">
        <v/>
      </c>
      <c r="G2"/>
      <c r="H2">
        <f>C2</f>
        <v>450</v>
      </c>
    </row>
    <row r="3">
      <c r="A3"/>
      <c r="B3" t="str">
        <v>Remaining Cash From Birthday D.P June </v>
      </c>
      <c r="C3"/>
      <c r="D3"/>
      <c r="E3"/>
      <c r="F3"/>
      <c r="G3">
        <v>2380</v>
      </c>
      <c r="H3">
        <f>H2+C3-D3</f>
        <v>450</v>
      </c>
    </row>
    <row r="4">
      <c r="A4" t="str">
        <v>2-7-2026</v>
      </c>
      <c r="B4" t="str">
        <v>Librarie Mallah ( Oui Oui Nursery) Workshop</v>
      </c>
      <c r="C4"/>
      <c r="D4">
        <v>55</v>
      </c>
      <c r="E4"/>
      <c r="F4"/>
      <c r="G4"/>
      <c r="H4" s="0">
        <f>H3+C4-D4</f>
        <v>395</v>
      </c>
    </row>
    <row r="5">
      <c r="A5"/>
      <c r="B5" t="str">
        <v>Librarie Mallah ( Oui Oui Nursery)</v>
      </c>
      <c r="C5"/>
      <c r="D5">
        <v>25</v>
      </c>
      <c r="E5"/>
      <c r="F5"/>
      <c r="G5"/>
      <c r="H5">
        <f>H4+C5-D5</f>
        <v>370</v>
      </c>
    </row>
    <row r="6">
      <c r="A6"/>
      <c r="B6" t="str">
        <v>Librarie Mallah ( Oui Oui Nursery Paint + clay )</v>
      </c>
      <c r="C6"/>
      <c r="D6">
        <v>23</v>
      </c>
      <c r="E6"/>
      <c r="F6"/>
      <c r="G6"/>
      <c r="H6" s="0">
        <f>H5+C6-D6</f>
        <v>347</v>
      </c>
    </row>
    <row r="7">
      <c r="A7"/>
      <c r="B7" t="str">
        <v>Nour Malek 4 Working H </v>
      </c>
      <c r="C7"/>
      <c r="D7">
        <v>16</v>
      </c>
      <c r="E7"/>
      <c r="F7"/>
      <c r="G7"/>
      <c r="H7">
        <f>H6+C7-D7</f>
        <v>331</v>
      </c>
    </row>
    <row r="8">
      <c r="A8"/>
      <c r="B8" t="str">
        <v>Angelina Khawand 4 Working H </v>
      </c>
      <c r="C8"/>
      <c r="D8">
        <v>16</v>
      </c>
      <c r="E8"/>
      <c r="F8"/>
      <c r="G8"/>
      <c r="H8" s="0">
        <f>H7+C8-D8</f>
        <v>315</v>
      </c>
    </row>
    <row r="9">
      <c r="A9"/>
      <c r="B9" t="str">
        <v>Nour Haybe 4 working H </v>
      </c>
      <c r="C9"/>
      <c r="D9">
        <v>16</v>
      </c>
      <c r="E9"/>
      <c r="F9"/>
      <c r="G9"/>
      <c r="H9">
        <f>H8+C9-D9</f>
        <v>299</v>
      </c>
    </row>
    <row r="10">
      <c r="A10"/>
      <c r="B10" t="str">
        <v>Tatyana Part Of Salay June</v>
      </c>
      <c r="C10"/>
      <c r="D10">
        <v>66</v>
      </c>
      <c r="E10"/>
      <c r="F10"/>
      <c r="G10"/>
      <c r="H10" s="0">
        <f>H9+C10-D10</f>
        <v>233</v>
      </c>
    </row>
    <row r="11">
      <c r="A11"/>
      <c r="B11" t="str">
        <v>Oui Oui Nursery 43 X 12$</v>
      </c>
      <c r="C11">
        <v>520</v>
      </c>
      <c r="D11"/>
      <c r="E11"/>
      <c r="F11"/>
      <c r="G11"/>
      <c r="H11">
        <f>H10+C11-D11</f>
        <v>753</v>
      </c>
    </row>
    <row r="12">
      <c r="A12"/>
      <c r="B12" t="str">
        <v>Cash Flow (Sanaa)</v>
      </c>
      <c r="C12"/>
      <c r="D12"/>
      <c r="E12"/>
      <c r="F12">
        <v>300</v>
      </c>
      <c r="G12"/>
      <c r="H12">
        <f>H11+C12-D12</f>
        <v>753</v>
      </c>
    </row>
    <row r="13">
      <c r="A13" t="str">
        <v>3-7-2026</v>
      </c>
      <c r="B13" t="str">
        <v>Le Marchet selectif (Water , Fruits, Cheese, Ice )</v>
      </c>
      <c r="C13"/>
      <c r="D13"/>
      <c r="E13">
        <v>100</v>
      </c>
      <c r="F13"/>
      <c r="G13"/>
      <c r="H13">
        <f>H12+C13-D13</f>
        <v>753</v>
      </c>
    </row>
    <row r="14">
      <c r="A14"/>
      <c r="B14" t="str">
        <v>Karam Bek</v>
      </c>
      <c r="C14"/>
      <c r="D14"/>
      <c r="E14">
        <v>48</v>
      </c>
      <c r="F14"/>
      <c r="G14"/>
      <c r="H14">
        <f>H13+C14-D14</f>
        <v>753</v>
      </c>
    </row>
    <row r="15">
      <c r="A15"/>
      <c r="B15" t="str">
        <v>Event Megastore (Workshops)</v>
      </c>
      <c r="C15"/>
      <c r="D15"/>
      <c r="E15">
        <v>28</v>
      </c>
      <c r="F15"/>
      <c r="G15"/>
      <c r="H15">
        <f>H14+C15-D15</f>
        <v>753</v>
      </c>
    </row>
    <row r="16">
      <c r="A16"/>
      <c r="B16" t="str">
        <v>Librarie Mallah</v>
      </c>
      <c r="C16"/>
      <c r="D16"/>
      <c r="E16">
        <v>22</v>
      </c>
      <c r="F16"/>
      <c r="G16"/>
      <c r="H16">
        <f>H15+C16-D16</f>
        <v>753</v>
      </c>
    </row>
    <row r="17">
      <c r="A17"/>
      <c r="B17" t="str">
        <v>Spinneys (kitchen)</v>
      </c>
      <c r="C17"/>
      <c r="D17"/>
      <c r="E17">
        <v>67.73</v>
      </c>
      <c r="F17"/>
      <c r="G17"/>
      <c r="H17">
        <f>H16+C17-D17</f>
        <v>753</v>
      </c>
    </row>
    <row r="18">
      <c r="A18"/>
      <c r="B18" t="str">
        <v>Spinneys ( Workshop July 4-5)</v>
      </c>
      <c r="C18"/>
      <c r="D18"/>
      <c r="E18">
        <v>37.27</v>
      </c>
      <c r="F18"/>
      <c r="G18"/>
      <c r="H18">
        <f>H17+C18-D18</f>
        <v>753</v>
      </c>
    </row>
    <row r="19">
      <c r="A19"/>
      <c r="B19" t="str">
        <v>Boucherie Ziad Burger</v>
      </c>
      <c r="C19"/>
      <c r="D19">
        <v>19.09</v>
      </c>
      <c r="E19">
        <v>0</v>
      </c>
      <c r="F19"/>
      <c r="G19"/>
      <c r="H19" s="0">
        <f>H18+C19-D19</f>
        <v>733.91</v>
      </c>
    </row>
    <row r="20">
      <c r="A20"/>
      <c r="B20" t="str">
        <v>Boucherie Ziad Kebbe</v>
      </c>
      <c r="C20"/>
      <c r="D20">
        <v>56.35</v>
      </c>
      <c r="E20">
        <v>0</v>
      </c>
      <c r="F20"/>
      <c r="G20"/>
      <c r="H20">
        <f>H19+C20-D20</f>
        <v>677.56</v>
      </c>
    </row>
    <row r="21">
      <c r="A21"/>
      <c r="B21" t="str">
        <v>Borgol Basal For Kebbe</v>
      </c>
      <c r="C21"/>
      <c r="D21">
        <v>5</v>
      </c>
      <c r="E21"/>
      <c r="F21"/>
      <c r="G21"/>
      <c r="H21" s="0">
        <f>H20+C21-D21</f>
        <v>672.56</v>
      </c>
    </row>
    <row r="22">
      <c r="A22"/>
      <c r="B22" t="str">
        <v>Angelina 9 Working h </v>
      </c>
      <c r="C22"/>
      <c r="D22">
        <v>33</v>
      </c>
      <c r="E22"/>
      <c r="F22"/>
      <c r="G22"/>
      <c r="H22">
        <f>H21+C22-D22</f>
        <v>639.56</v>
      </c>
    </row>
    <row r="23">
      <c r="A23"/>
      <c r="B23" t="str">
        <v>Nour Haybe 9 Working h </v>
      </c>
      <c r="C23"/>
      <c r="D23">
        <v>42</v>
      </c>
      <c r="E23"/>
      <c r="F23"/>
      <c r="G23"/>
      <c r="H23" s="0">
        <f>H22+C23-D23</f>
        <v>597.56</v>
      </c>
    </row>
    <row r="24">
      <c r="A24"/>
      <c r="B24" t="str">
        <v>Cash In 4-7-2026</v>
      </c>
      <c r="C24">
        <v>238</v>
      </c>
      <c r="D24"/>
      <c r="E24"/>
      <c r="F24"/>
      <c r="G24"/>
      <c r="H24">
        <f>H23+C24-D24</f>
        <v>835.56</v>
      </c>
    </row>
    <row r="25">
      <c r="A25"/>
      <c r="B25" t="str">
        <v>Birthday Reaven 3-7-2026</v>
      </c>
      <c r="C25">
        <v>434</v>
      </c>
      <c r="D25"/>
      <c r="E25"/>
      <c r="F25"/>
      <c r="G25"/>
      <c r="H25" s="0">
        <f>H24+C25-D25</f>
        <v>1269.56</v>
      </c>
    </row>
    <row r="26">
      <c r="A26"/>
      <c r="B26" t="str">
        <v>Cash Flow (Sanaa)</v>
      </c>
      <c r="C26"/>
      <c r="D26"/>
      <c r="E26"/>
      <c r="F26">
        <v>500</v>
      </c>
      <c r="G26"/>
      <c r="H26" s="0">
        <f>H25+C26-D26</f>
        <v>1269.56</v>
      </c>
    </row>
    <row r="27">
      <c r="A27" t="str">
        <v>4-7-2026</v>
      </c>
      <c r="B27" t="str">
        <v>Cash In 4-7-2026</v>
      </c>
      <c r="C27">
        <f>'4-7-2026'!E4</f>
        <v>751</v>
      </c>
      <c r="D27"/>
      <c r="E27"/>
      <c r="F27"/>
      <c r="G27"/>
      <c r="H27">
        <f>H26+C27-D27</f>
        <v>2020.56</v>
      </c>
    </row>
    <row r="28">
      <c r="A28"/>
      <c r="B28" t="str">
        <v>Soils Permacultura Association Lebanon</v>
      </c>
      <c r="C28">
        <f>'4-7-2026'!E5</f>
        <v>100</v>
      </c>
      <c r="D28"/>
      <c r="E28"/>
      <c r="F28"/>
      <c r="G28"/>
      <c r="H28" s="0">
        <f>H27+C28-D28</f>
        <v>2120.56</v>
      </c>
    </row>
    <row r="29">
      <c r="A29"/>
      <c r="B29" t="str">
        <v>KaraM Biek </v>
      </c>
      <c r="C29"/>
      <c r="D29">
        <v>60</v>
      </c>
      <c r="E29"/>
      <c r="F29"/>
      <c r="G29"/>
      <c r="H29">
        <f>H28+C29-D29</f>
        <v>2060.56</v>
      </c>
    </row>
    <row r="30">
      <c r="A30"/>
      <c r="B30" t="str">
        <v>Le Marchet selectif (Birthday &amp; Workshops )</v>
      </c>
      <c r="C30"/>
      <c r="D30">
        <v>112</v>
      </c>
      <c r="E30"/>
      <c r="F30"/>
      <c r="G30"/>
      <c r="H30" s="0">
        <f>H29+C30-D30</f>
        <v>1948.56</v>
      </c>
    </row>
    <row r="31">
      <c r="A31"/>
      <c r="B31" t="str">
        <v>Le Marchet selectif (Birthday 5-7-2026 )</v>
      </c>
      <c r="C31"/>
      <c r="D31">
        <v>66</v>
      </c>
      <c r="E31"/>
      <c r="F31"/>
      <c r="G31"/>
      <c r="H31">
        <f>H30+C31-D31</f>
        <v>1882.56</v>
      </c>
    </row>
    <row r="32">
      <c r="A32"/>
      <c r="B32" t="str">
        <v>Wooden Bakery Cake For Coffe Break</v>
      </c>
      <c r="C32"/>
      <c r="D32">
        <v>21</v>
      </c>
      <c r="E32"/>
      <c r="F32"/>
      <c r="G32"/>
      <c r="H32" s="0">
        <f>H31+C32-D32</f>
        <v>1861.56</v>
      </c>
    </row>
    <row r="33">
      <c r="A33"/>
      <c r="B33" t="str">
        <v>Citern Water Toni Nehme </v>
      </c>
      <c r="C33"/>
      <c r="D33">
        <v>80</v>
      </c>
      <c r="E33"/>
      <c r="F33"/>
      <c r="G33"/>
      <c r="H33">
        <f>H32+C33-D33</f>
        <v>1781.56</v>
      </c>
    </row>
    <row r="34">
      <c r="A34"/>
      <c r="B34" t="str">
        <v>Little Hands Garbage </v>
      </c>
      <c r="C34"/>
      <c r="D34">
        <v>30</v>
      </c>
      <c r="E34"/>
      <c r="F34"/>
      <c r="G34"/>
      <c r="H34" s="0">
        <f>H33+C34-D34</f>
        <v>1751.56</v>
      </c>
    </row>
    <row r="35">
      <c r="A35"/>
      <c r="B35" t="str">
        <v>3alaf For Farm </v>
      </c>
      <c r="C35"/>
      <c r="D35">
        <v>32</v>
      </c>
      <c r="E35"/>
      <c r="F35"/>
      <c r="G35"/>
      <c r="H35">
        <f>H34+C35-D35</f>
        <v>1719.56</v>
      </c>
    </row>
    <row r="36">
      <c r="A36"/>
      <c r="B36" t="str">
        <v>Plumber (Saleh)</v>
      </c>
      <c r="C36"/>
      <c r="D36">
        <v>15</v>
      </c>
      <c r="E36"/>
      <c r="F36"/>
      <c r="G36"/>
      <c r="H36" s="0">
        <f>H35+C36-D36</f>
        <v>1704.56</v>
      </c>
    </row>
    <row r="37">
      <c r="A37"/>
      <c r="B37" t="str">
        <v>Manakich For Little Hands </v>
      </c>
      <c r="C37"/>
      <c r="D37">
        <v>15</v>
      </c>
      <c r="E37"/>
      <c r="F37"/>
      <c r="G37"/>
      <c r="H37">
        <f>H36+C37-D37</f>
        <v>1689.56</v>
      </c>
    </row>
    <row r="38">
      <c r="A38"/>
      <c r="B38" t="str">
        <v>Wooden Bakery Burger</v>
      </c>
      <c r="C38"/>
      <c r="D38">
        <v>7.5</v>
      </c>
      <c r="E38"/>
      <c r="F38"/>
      <c r="G38"/>
      <c r="H38" s="0">
        <f>H37+C38-D38</f>
        <v>1682.06</v>
      </c>
    </row>
    <row r="39">
      <c r="A39"/>
      <c r="B39" t="str">
        <v>Ramel</v>
      </c>
      <c r="C39"/>
      <c r="D39">
        <v>11</v>
      </c>
      <c r="E39"/>
      <c r="F39"/>
      <c r="G39"/>
      <c r="H39">
        <f>H38+C39-D39</f>
        <v>1671.06</v>
      </c>
    </row>
    <row r="40">
      <c r="A40"/>
      <c r="B40" t="str">
        <v>Assab for Garden </v>
      </c>
      <c r="C40"/>
      <c r="D40">
        <v>7</v>
      </c>
      <c r="E40"/>
      <c r="F40"/>
      <c r="G40"/>
      <c r="H40" s="0">
        <f>H39+C40-D40</f>
        <v>1664.06</v>
      </c>
    </row>
    <row r="41">
      <c r="A41"/>
      <c r="B41" t="str">
        <v>Panino Bakery Mini Burker </v>
      </c>
      <c r="C41"/>
      <c r="D41">
        <v>5.39</v>
      </c>
      <c r="E41"/>
      <c r="F41"/>
      <c r="G41"/>
      <c r="H41">
        <f>H40+C41-D41</f>
        <v>1658.67</v>
      </c>
    </row>
    <row r="42">
      <c r="A42"/>
      <c r="B42" t="str">
        <v>Thaer Wood Fork, wood Spoon </v>
      </c>
      <c r="C42"/>
      <c r="D42">
        <v>48.5</v>
      </c>
      <c r="E42"/>
      <c r="F42"/>
      <c r="G42"/>
      <c r="H42" s="0">
        <f>H41+C42-D42</f>
        <v>1610.17</v>
      </c>
    </row>
    <row r="43">
      <c r="A43"/>
      <c r="B43" t="str">
        <v>Nour Haybe 9 working H </v>
      </c>
      <c r="C43"/>
      <c r="D43">
        <v>42</v>
      </c>
      <c r="E43"/>
      <c r="F43"/>
      <c r="G43"/>
      <c r="H43">
        <f>H42+C43-D43</f>
        <v>1568.17</v>
      </c>
    </row>
    <row r="44">
      <c r="A44"/>
      <c r="B44" t="str">
        <v>Cynthia hello 5 Working H</v>
      </c>
      <c r="C44"/>
      <c r="D44">
        <v>23</v>
      </c>
      <c r="E44"/>
      <c r="F44"/>
      <c r="G44"/>
      <c r="H44" s="0">
        <f>H43+C44-D44</f>
        <v>1545.17</v>
      </c>
    </row>
    <row r="45">
      <c r="A45"/>
      <c r="B45" t="str">
        <v>Cash Flow (Sanaa)</v>
      </c>
      <c r="C45"/>
      <c r="D45"/>
      <c r="E45"/>
      <c r="F45">
        <v>200</v>
      </c>
      <c r="G45"/>
      <c r="H45" s="0">
        <f>H44+C45-D45</f>
        <v>1545.17</v>
      </c>
    </row>
    <row r="46">
      <c r="A46" t="str">
        <v>5-7-2026</v>
      </c>
      <c r="B46" t="str">
        <v>Michel Saade (14 Kids &amp; 21 Adults) *28$</v>
      </c>
      <c r="C46">
        <v>750</v>
      </c>
      <c r="D46"/>
      <c r="E46"/>
      <c r="F46"/>
      <c r="G46"/>
      <c r="H46">
        <f>H45+C46-D46</f>
        <v>2295.17</v>
      </c>
    </row>
    <row r="47">
      <c r="A47"/>
      <c r="B47" t="str">
        <v>Cash In 5-7-2026</v>
      </c>
      <c r="C47">
        <f>'5-7-2026'!E4</f>
        <v>241</v>
      </c>
      <c r="D47"/>
      <c r="E47"/>
      <c r="F47"/>
      <c r="G47"/>
      <c r="H47" s="0">
        <f>H46+C47-D47</f>
        <v>2536.17</v>
      </c>
    </row>
    <row r="48">
      <c r="A48"/>
      <c r="B48" t="str">
        <v>Le Marchet Selectif ( Fruits &amp; Veg , Fahem,Water)</v>
      </c>
      <c r="C48"/>
      <c r="D48"/>
      <c r="E48">
        <v>41.32</v>
      </c>
      <c r="F48"/>
      <c r="G48"/>
      <c r="H48" s="0">
        <f>H47+C48-D48</f>
        <v>2536.17</v>
      </c>
    </row>
    <row r="49">
      <c r="A49"/>
      <c r="B49" t="str">
        <v>Noknok Mozarella Sticks Birthday 5-7</v>
      </c>
      <c r="C49"/>
      <c r="D49"/>
      <c r="E49">
        <v>22</v>
      </c>
      <c r="F49"/>
      <c r="G49"/>
      <c r="H49" s="0">
        <f>H48+C49-D49</f>
        <v>2536.17</v>
      </c>
    </row>
    <row r="50">
      <c r="A50"/>
      <c r="B50" t="str">
        <v>Storium Saliba ( Birthday &amp; Bar )</v>
      </c>
      <c r="C50"/>
      <c r="D50"/>
      <c r="E50">
        <v>28.79</v>
      </c>
      <c r="F50"/>
      <c r="G50"/>
      <c r="H50" s="0">
        <f>H49+C50-D50</f>
        <v>2536.17</v>
      </c>
    </row>
    <row r="51">
      <c r="A51"/>
      <c r="B51" t="str">
        <v>Spinneys Birthday </v>
      </c>
      <c r="C51"/>
      <c r="D51"/>
      <c r="E51">
        <v>171</v>
      </c>
      <c r="F51"/>
      <c r="G51"/>
      <c r="H51" s="0">
        <f>H50+C51-D51</f>
        <v>2536.17</v>
      </c>
    </row>
    <row r="52">
      <c r="A52"/>
      <c r="B52" t="str">
        <v>Event Megastore ( Birthday Workshop )</v>
      </c>
      <c r="C52"/>
      <c r="D52"/>
      <c r="E52">
        <v>79.31</v>
      </c>
      <c r="F52"/>
      <c r="G52"/>
      <c r="H52" s="0">
        <f>H51+C52-D52</f>
        <v>2536.17</v>
      </c>
    </row>
    <row r="53">
      <c r="A53"/>
      <c r="B53" t="str">
        <v>Nour Haybe 4.5 Working H</v>
      </c>
      <c r="C53"/>
      <c r="D53">
        <v>24</v>
      </c>
      <c r="E53"/>
      <c r="F53"/>
      <c r="G53"/>
      <c r="H53">
        <f>H52+C53-D53</f>
        <v>2512.17</v>
      </c>
    </row>
    <row r="54">
      <c r="A54"/>
      <c r="B54" t="str">
        <v>Angelina 9 Working h </v>
      </c>
      <c r="C54"/>
      <c r="D54">
        <v>36</v>
      </c>
      <c r="E54"/>
      <c r="F54"/>
      <c r="G54"/>
      <c r="H54" s="0">
        <f>H53+C54-D54</f>
        <v>2476.17</v>
      </c>
    </row>
    <row r="55">
      <c r="A55"/>
      <c r="B55" t="str">
        <v>Nour Malek 9 Working H </v>
      </c>
      <c r="C55"/>
      <c r="D55">
        <v>60</v>
      </c>
      <c r="E55"/>
      <c r="F55"/>
      <c r="G55"/>
      <c r="H55">
        <f>H54+C55-D55</f>
        <v>2416.17</v>
      </c>
    </row>
    <row r="56">
      <c r="A56"/>
      <c r="B56" t="str">
        <v>Nancy Old Balcance </v>
      </c>
      <c r="C56"/>
      <c r="D56">
        <v>66</v>
      </c>
      <c r="E56"/>
      <c r="F56"/>
      <c r="G56"/>
      <c r="H56" s="0">
        <f>H55+C56-D56</f>
        <v>2350.17</v>
      </c>
    </row>
    <row r="57">
      <c r="A57"/>
      <c r="B57" t="str">
        <v>Cash Flow (Sanaa)</v>
      </c>
      <c r="C57"/>
      <c r="D57"/>
      <c r="E57"/>
      <c r="F57">
        <v>300</v>
      </c>
      <c r="G57"/>
      <c r="H57" s="0">
        <f>H56+C57-D57</f>
        <v>2350.17</v>
      </c>
    </row>
    <row r="58">
      <c r="A58"/>
      <c r="B58" t="str">
        <v>Miro Advance</v>
      </c>
      <c r="C58"/>
      <c r="D58">
        <v>600</v>
      </c>
      <c r="E58"/>
      <c r="F58"/>
      <c r="G58"/>
      <c r="H58">
        <f>H57+C58-D58</f>
        <v>1750.17</v>
      </c>
    </row>
    <row r="59">
      <c r="A59" t="str">
        <v>8-7-2026</v>
      </c>
      <c r="B59" t="str">
        <v>Birthday : Dina Bekdach </v>
      </c>
      <c r="C59">
        <v>625</v>
      </c>
      <c r="D59"/>
      <c r="E59"/>
      <c r="F59"/>
      <c r="G59"/>
      <c r="H59" s="0">
        <f>H58+C59-D59</f>
        <v>2375.17</v>
      </c>
    </row>
    <row r="60">
      <c r="A60"/>
      <c r="B60" t="str">
        <v>Bebe Sucre Garderie </v>
      </c>
      <c r="C60">
        <v>760</v>
      </c>
      <c r="D60"/>
      <c r="E60"/>
      <c r="F60"/>
      <c r="G60"/>
      <c r="H60">
        <f>H59+C60-D60</f>
        <v>3135.17</v>
      </c>
    </row>
    <row r="61">
      <c r="A61"/>
      <c r="B61" t="str">
        <v>Kafta &amp; Taouk For Birthday </v>
      </c>
      <c r="C61"/>
      <c r="D61"/>
      <c r="E61">
        <v>29</v>
      </c>
      <c r="F61"/>
      <c r="G61"/>
      <c r="H61">
        <f>H60+C61-D61</f>
        <v>3135.17</v>
      </c>
    </row>
    <row r="62">
      <c r="A62"/>
      <c r="B62" t="str">
        <v>Mallah Librarie </v>
      </c>
      <c r="C62"/>
      <c r="D62"/>
      <c r="E62">
        <v>60</v>
      </c>
      <c r="F62"/>
      <c r="G62"/>
      <c r="H62">
        <f>H61+C62-D62</f>
        <v>3135.17</v>
      </c>
    </row>
    <row r="63">
      <c r="A63"/>
      <c r="B63" t="str">
        <v>Storium Kitchen &amp; Hygiene For Birthday </v>
      </c>
      <c r="C63"/>
      <c r="D63"/>
      <c r="E63">
        <v>79</v>
      </c>
      <c r="F63"/>
      <c r="G63"/>
      <c r="H63">
        <f>H62+C63-D63</f>
        <v>3135.17</v>
      </c>
    </row>
    <row r="64">
      <c r="A64"/>
      <c r="B64" t="str">
        <v>Nour malek Visit Bebe Sucre </v>
      </c>
      <c r="C64"/>
      <c r="D64">
        <v>30</v>
      </c>
      <c r="E64"/>
      <c r="F64"/>
      <c r="G64"/>
      <c r="H64" s="0">
        <f>H63+C64-D64</f>
        <v>3105.17</v>
      </c>
    </row>
    <row r="65">
      <c r="A65"/>
      <c r="B65" t="str">
        <v>Returned To Sanaa From Exchange </v>
      </c>
      <c r="C65"/>
      <c r="D65">
        <v>65</v>
      </c>
      <c r="E65"/>
      <c r="F65"/>
      <c r="G65"/>
      <c r="H65">
        <f>H64+C65-D65</f>
        <v>3040.17</v>
      </c>
    </row>
    <row r="66">
      <c r="A66"/>
      <c r="B66" t="str">
        <v>Cynthia 4 Working H </v>
      </c>
      <c r="C66"/>
      <c r="D66">
        <v>24</v>
      </c>
      <c r="E66"/>
      <c r="F66"/>
      <c r="G66"/>
      <c r="H66" s="0">
        <f>H65+C66-D66</f>
        <v>3016.17</v>
      </c>
    </row>
    <row r="67">
      <c r="A67"/>
      <c r="B67" t="str">
        <v>Nour Haybe Nursery Visite </v>
      </c>
      <c r="C67"/>
      <c r="D67">
        <v>54</v>
      </c>
      <c r="E67"/>
      <c r="F67"/>
      <c r="G67"/>
      <c r="H67">
        <f>H66+C67-D67</f>
        <v>2962.17</v>
      </c>
    </row>
    <row r="68">
      <c r="A68"/>
      <c r="B68" t="str">
        <v>Moteur June 2026</v>
      </c>
      <c r="C68"/>
      <c r="D68">
        <v>300</v>
      </c>
      <c r="E68"/>
      <c r="F68"/>
      <c r="G68"/>
      <c r="H68" s="0">
        <f>H67+C68-D68</f>
        <v>2662.17</v>
      </c>
    </row>
    <row r="69">
      <c r="A69"/>
      <c r="B69" t="str">
        <v>Panino </v>
      </c>
      <c r="C69"/>
      <c r="D69">
        <v>6.74</v>
      </c>
      <c r="E69"/>
      <c r="F69"/>
      <c r="G69"/>
      <c r="H69">
        <f>H68+C69-D69</f>
        <v>2655.43</v>
      </c>
    </row>
    <row r="70">
      <c r="A70"/>
      <c r="B70" t="str">
        <v>Kassab Rabet For Garden</v>
      </c>
      <c r="C70"/>
      <c r="D70">
        <v>15</v>
      </c>
      <c r="E70"/>
      <c r="F70"/>
      <c r="G70"/>
      <c r="H70" s="0">
        <f>H69+C70-D70</f>
        <v>2640.43</v>
      </c>
    </row>
    <row r="71">
      <c r="A71"/>
      <c r="B71" t="str">
        <v>Cash Flow (Sanaa)</v>
      </c>
      <c r="C71"/>
      <c r="D71"/>
      <c r="E71"/>
      <c r="F71">
        <v>900</v>
      </c>
      <c r="G71"/>
      <c r="H71" s="0">
        <f>H70+C71-D71</f>
        <v>2640.43</v>
      </c>
    </row>
    <row r="72">
      <c r="A72" t="str">
        <v>9-7-2026</v>
      </c>
      <c r="B72" t="str">
        <v>Bebe Sucre Garderie </v>
      </c>
      <c r="C72">
        <v>528</v>
      </c>
      <c r="D72"/>
      <c r="E72"/>
      <c r="F72"/>
      <c r="G72"/>
      <c r="H72">
        <f>H71+C72-D72</f>
        <v>3168.43</v>
      </c>
    </row>
    <row r="73">
      <c r="A73"/>
      <c r="B73" t="str">
        <v>Carine Bejani Birthday Down Payment </v>
      </c>
      <c r="C73"/>
      <c r="D73"/>
      <c r="E73"/>
      <c r="F73"/>
      <c r="G73">
        <v>300</v>
      </c>
      <c r="H73">
        <f>H72+C73-D73</f>
        <v>3168.43</v>
      </c>
    </row>
    <row r="74">
      <c r="A74"/>
      <c r="B74" t="str">
        <v>Le Marche Selectif </v>
      </c>
      <c r="C74"/>
      <c r="D74">
        <v>82</v>
      </c>
      <c r="E74"/>
      <c r="F74"/>
      <c r="G74"/>
      <c r="H74" s="0">
        <f>H73+C74-D74</f>
        <v>3086.43</v>
      </c>
    </row>
    <row r="75">
      <c r="A75"/>
      <c r="B75" t="str">
        <v>Nour Malek</v>
      </c>
      <c r="C75"/>
      <c r="D75">
        <v>16</v>
      </c>
      <c r="E75"/>
      <c r="F75"/>
      <c r="G75"/>
      <c r="H75">
        <f>H74+C75-D75</f>
        <v>3070.43</v>
      </c>
    </row>
    <row r="76">
      <c r="A76"/>
      <c r="B76" t="str">
        <v>Angelina</v>
      </c>
      <c r="C76"/>
      <c r="D76">
        <v>24</v>
      </c>
      <c r="E76"/>
      <c r="F76"/>
      <c r="G76"/>
      <c r="H76" s="0">
        <f>H75+C76-D76</f>
        <v>3046.43</v>
      </c>
    </row>
    <row r="77">
      <c r="A77"/>
      <c r="B77" t="str">
        <v>Nour Haybe</v>
      </c>
      <c r="C77"/>
      <c r="D77">
        <v>22</v>
      </c>
      <c r="E77"/>
      <c r="F77"/>
      <c r="G77"/>
      <c r="H77">
        <f>H76+C77-D77</f>
        <v>3024.43</v>
      </c>
    </row>
    <row r="78">
      <c r="A78"/>
      <c r="B78" t="str">
        <v>Cash Flow (Sanaa) </v>
      </c>
      <c r="C78"/>
      <c r="D78"/>
      <c r="E78"/>
      <c r="F78">
        <v>384</v>
      </c>
      <c r="G78"/>
      <c r="H78">
        <f>H77+C78-D78</f>
        <v>3024.43</v>
      </c>
    </row>
    <row r="79">
      <c r="A79" t="str">
        <v>10-7-2026</v>
      </c>
      <c r="B79" t="str">
        <v>Birthday : Vanessa Moussan</v>
      </c>
      <c r="C79">
        <v>755</v>
      </c>
      <c r="D79"/>
      <c r="E79"/>
      <c r="F79"/>
      <c r="G79"/>
      <c r="H79" s="0">
        <f>H78+C79-D79</f>
        <v>3779.43</v>
      </c>
    </row>
    <row r="80">
      <c r="A80"/>
      <c r="B80" t="str">
        <v>Garderie Maisonette Des petits Minous 32 kid</v>
      </c>
      <c r="C80">
        <v>384</v>
      </c>
      <c r="D80"/>
      <c r="E80"/>
      <c r="F80"/>
      <c r="G80"/>
      <c r="H80">
        <f>H79+C80-D80</f>
        <v>4163.43</v>
      </c>
    </row>
    <row r="81">
      <c r="A81"/>
      <c r="B81" t="str">
        <v>Cash Flow (Sanaa)</v>
      </c>
      <c r="C81"/>
      <c r="D81"/>
      <c r="E81"/>
      <c r="F81">
        <v>900</v>
      </c>
      <c r="G81"/>
      <c r="H81">
        <f>H80+C81-D81</f>
        <v>4163.43</v>
      </c>
    </row>
    <row r="82">
      <c r="A82"/>
      <c r="B82" t="str">
        <v>Le Marche Selectif </v>
      </c>
      <c r="C82"/>
      <c r="D82"/>
      <c r="E82">
        <v>146</v>
      </c>
      <c r="F82"/>
      <c r="G82"/>
      <c r="H82">
        <f>H81+C82-D82</f>
        <v>4163.43</v>
      </c>
    </row>
    <row r="83">
      <c r="A83"/>
      <c r="B83" t="str">
        <v>karam Beik </v>
      </c>
      <c r="C83"/>
      <c r="D83"/>
      <c r="E83">
        <v>55</v>
      </c>
      <c r="F83"/>
      <c r="G83"/>
      <c r="H83">
        <f>H82+C83-D83</f>
        <v>4163.43</v>
      </c>
    </row>
    <row r="84">
      <c r="A84"/>
      <c r="B84" t="str">
        <v>Spinneys </v>
      </c>
      <c r="C84"/>
      <c r="D84"/>
      <c r="E84">
        <v>188</v>
      </c>
      <c r="F84"/>
      <c r="G84"/>
      <c r="H84">
        <f>H83+C84-D84</f>
        <v>4163.43</v>
      </c>
    </row>
    <row r="85">
      <c r="A85"/>
      <c r="B85" t="str">
        <v>Boucherie Ziad Kebbe Burger for Birthday 10/11/12</v>
      </c>
      <c r="C85"/>
      <c r="D85"/>
      <c r="E85">
        <v>170</v>
      </c>
      <c r="F85"/>
      <c r="G85"/>
      <c r="H85">
        <f>H84+C85-D85</f>
        <v>4163.43</v>
      </c>
    </row>
    <row r="86">
      <c r="A86"/>
      <c r="B86" t="str">
        <v>Fairco International </v>
      </c>
      <c r="C86"/>
      <c r="D86">
        <v>40.9</v>
      </c>
      <c r="E86"/>
      <c r="F86"/>
      <c r="G86"/>
      <c r="H86" s="0">
        <f>H85+C86-D86</f>
        <v>4122.53</v>
      </c>
    </row>
    <row r="87">
      <c r="A87"/>
      <c r="B87" t="str">
        <v>Maliks (Print Out )</v>
      </c>
      <c r="C87"/>
      <c r="D87">
        <v>8.98</v>
      </c>
      <c r="E87"/>
      <c r="F87"/>
      <c r="G87"/>
      <c r="H87">
        <f>H86+C87-D87</f>
        <v>4113.55</v>
      </c>
    </row>
    <row r="88">
      <c r="A88"/>
      <c r="B88" t="str">
        <v>Returne To Sara Exchange</v>
      </c>
      <c r="C88"/>
      <c r="D88">
        <v>10</v>
      </c>
      <c r="E88"/>
      <c r="F88"/>
      <c r="G88"/>
      <c r="H88" s="0">
        <f>H87+C88-D88</f>
        <v>4103.55</v>
      </c>
    </row>
    <row r="89">
      <c r="A89"/>
      <c r="B89" t="str">
        <v>Citern water </v>
      </c>
      <c r="C89"/>
      <c r="D89">
        <v>88</v>
      </c>
      <c r="E89"/>
      <c r="F89"/>
      <c r="G89"/>
      <c r="H89">
        <f>H88+C89-D89</f>
        <v>4015.55</v>
      </c>
    </row>
    <row r="90">
      <c r="A90"/>
      <c r="B90" t="str">
        <v>Panino</v>
      </c>
      <c r="C90"/>
      <c r="D90">
        <v>21</v>
      </c>
      <c r="E90"/>
      <c r="F90"/>
      <c r="G90"/>
      <c r="H90" s="0">
        <f>H89+C90-D90</f>
        <v>3994.55</v>
      </c>
    </row>
    <row r="91">
      <c r="A91"/>
      <c r="B91" t="str">
        <v>Pharmacie Chantal</v>
      </c>
      <c r="C91"/>
      <c r="D91">
        <v>5</v>
      </c>
      <c r="E91"/>
      <c r="F91"/>
      <c r="G91"/>
      <c r="H91">
        <f>H90+C91-D91</f>
        <v>3989.55</v>
      </c>
    </row>
    <row r="92">
      <c r="A92"/>
      <c r="B92" t="str">
        <v>Nour Haybe</v>
      </c>
      <c r="C92"/>
      <c r="D92">
        <v>38</v>
      </c>
      <c r="E92"/>
      <c r="F92"/>
      <c r="G92"/>
      <c r="H92" s="0">
        <f>H91+C92-D92</f>
        <v>3951.55</v>
      </c>
    </row>
    <row r="93">
      <c r="A93" t="str">
        <v>11-7-2026</v>
      </c>
      <c r="B93" t="str">
        <v>Birthday Carine Fadel </v>
      </c>
      <c r="C93">
        <v>1335</v>
      </c>
      <c r="D93"/>
      <c r="E93"/>
      <c r="F93"/>
      <c r="G93"/>
      <c r="H93">
        <f>H92+C93-D93</f>
        <v>5286.55</v>
      </c>
    </row>
    <row r="94">
      <c r="A94"/>
      <c r="B94" t="str">
        <v>Walk-in Little Hands (2)</v>
      </c>
      <c r="C94">
        <f>'11-7-2026'!E4</f>
        <v>453</v>
      </c>
      <c r="D94"/>
      <c r="E94"/>
      <c r="F94"/>
      <c r="G94"/>
      <c r="H94" s="0">
        <f>H93+C94-D94</f>
        <v>5739.55</v>
      </c>
    </row>
    <row r="95">
      <c r="A95"/>
      <c r="B95" t="str">
        <v>Le Marche Selectif </v>
      </c>
      <c r="C95"/>
      <c r="D95"/>
      <c r="E95">
        <v>108</v>
      </c>
      <c r="F95"/>
      <c r="G95"/>
      <c r="H95" s="0">
        <f>H94+C95-D95</f>
        <v>5739.55</v>
      </c>
    </row>
    <row r="96">
      <c r="A96"/>
      <c r="B96" t="str">
        <v>karam Beik </v>
      </c>
      <c r="C96"/>
      <c r="D96"/>
      <c r="E96">
        <v>63</v>
      </c>
      <c r="F96"/>
      <c r="G96"/>
      <c r="H96" s="0">
        <f>H95+C96-D96</f>
        <v>5739.55</v>
      </c>
    </row>
    <row r="97">
      <c r="A97"/>
      <c r="B97" t="str">
        <v>Storium </v>
      </c>
      <c r="C97"/>
      <c r="D97"/>
      <c r="E97">
        <v>24</v>
      </c>
      <c r="F97"/>
      <c r="G97"/>
      <c r="H97" s="0">
        <f>H96+C97-D97</f>
        <v>5739.55</v>
      </c>
    </row>
    <row r="98">
      <c r="A98"/>
      <c r="B98" t="str">
        <v>Boucherie Ziad Kebbe Burger for Birthday 12</v>
      </c>
      <c r="C98"/>
      <c r="D98"/>
      <c r="E98">
        <v>38</v>
      </c>
      <c r="F98"/>
      <c r="G98"/>
      <c r="H98" s="0">
        <f>H97+C98-D98</f>
        <v>5739.55</v>
      </c>
    </row>
    <row r="99">
      <c r="A99"/>
      <c r="B99" t="str">
        <v>Youssef Malek Tabale For Garden 30*4$</v>
      </c>
      <c r="C99"/>
      <c r="D99">
        <v>120</v>
      </c>
      <c r="E99"/>
      <c r="F99"/>
      <c r="G99"/>
      <c r="H99">
        <f>H98+C99-D99</f>
        <v>5619.55</v>
      </c>
    </row>
    <row r="100">
      <c r="A100"/>
      <c r="B100" t="str">
        <v>Melhem yamine (Marawi7 For Garden)</v>
      </c>
      <c r="C100"/>
      <c r="D100">
        <v>180</v>
      </c>
      <c r="E100"/>
      <c r="F100"/>
      <c r="G100"/>
      <c r="H100" s="0">
        <f>H99+C100-D100</f>
        <v>5439.55</v>
      </c>
    </row>
    <row r="101">
      <c r="A101"/>
      <c r="B101" t="str">
        <v>Nour Malek Face Painting &amp; working H</v>
      </c>
      <c r="C101"/>
      <c r="D101">
        <v>52</v>
      </c>
      <c r="E101"/>
      <c r="F101"/>
      <c r="G101"/>
      <c r="H101">
        <f>H100+C101-D101</f>
        <v>5387.55</v>
      </c>
    </row>
    <row r="102">
      <c r="A102"/>
      <c r="B102" t="str">
        <v>Le marchet Selectif (</v>
      </c>
      <c r="C102"/>
      <c r="D102">
        <v>82</v>
      </c>
      <c r="E102"/>
      <c r="F102"/>
      <c r="G102"/>
      <c r="H102" s="0">
        <f>H101+C102-D102</f>
        <v>5305.55</v>
      </c>
    </row>
    <row r="103">
      <c r="A103"/>
      <c r="B103" t="str">
        <v>Angelina</v>
      </c>
      <c r="C103"/>
      <c r="D103">
        <v>33</v>
      </c>
      <c r="E103"/>
      <c r="F103"/>
      <c r="G103"/>
      <c r="H103">
        <f>H102+C103-D103</f>
        <v>5272.55</v>
      </c>
    </row>
    <row r="104">
      <c r="A104"/>
      <c r="B104" t="str">
        <v>Nour Haybe</v>
      </c>
      <c r="C104"/>
      <c r="D104">
        <v>36</v>
      </c>
      <c r="E104"/>
      <c r="F104"/>
      <c r="G104"/>
      <c r="H104" s="0">
        <f>H103+C104-D104</f>
        <v>5236.55</v>
      </c>
    </row>
    <row r="105">
      <c r="A105"/>
      <c r="B105" t="str">
        <v>Cash Flow (Sanaa)</v>
      </c>
      <c r="C105"/>
      <c r="D105"/>
      <c r="E105"/>
      <c r="F105">
        <v>1400</v>
      </c>
      <c r="G105"/>
      <c r="H105" s="0">
        <f>H104+C105-D105</f>
        <v>5236.55</v>
      </c>
    </row>
    <row r="106">
      <c r="A106" t="str">
        <v>12-7-2026</v>
      </c>
      <c r="B106" t="str">
        <v>Walk-in Today: Cash In USD ( 9 Kids)</v>
      </c>
      <c r="C106">
        <f>'15-7-2026'!E5</f>
        <v>516</v>
      </c>
      <c r="D106"/>
      <c r="E106"/>
      <c r="F106"/>
      <c r="G106"/>
      <c r="H106">
        <f>H105+C106-D106</f>
        <v>5752.55</v>
      </c>
    </row>
    <row r="107">
      <c r="A107"/>
      <c r="B107" t="str">
        <v>Birthday : Clara Khachan </v>
      </c>
      <c r="C107">
        <f>'12-7-2026'!E5</f>
        <v>556</v>
      </c>
      <c r="D107"/>
      <c r="E107"/>
      <c r="F107"/>
      <c r="G107"/>
      <c r="H107" s="0">
        <f>H106+C107-D107</f>
        <v>6308.55</v>
      </c>
    </row>
    <row r="108">
      <c r="A108"/>
      <c r="B108" t="str">
        <v>Storium</v>
      </c>
      <c r="C108"/>
      <c r="D108"/>
      <c r="E108">
        <v>56</v>
      </c>
      <c r="F108"/>
      <c r="G108"/>
      <c r="H108" s="0">
        <f>H107+C108-D108</f>
        <v>6308.55</v>
      </c>
    </row>
    <row r="109">
      <c r="A109"/>
      <c r="B109" t="str">
        <v>Nour Haybe </v>
      </c>
      <c r="C109"/>
      <c r="D109">
        <v>38</v>
      </c>
      <c r="E109"/>
      <c r="F109"/>
      <c r="G109"/>
      <c r="H109">
        <f>H108+C109-D109</f>
        <v>6270.55</v>
      </c>
    </row>
    <row r="110">
      <c r="A110"/>
      <c r="B110" t="str">
        <v>Nour Malek</v>
      </c>
      <c r="C110"/>
      <c r="D110">
        <v>32</v>
      </c>
      <c r="E110"/>
      <c r="F110"/>
      <c r="G110"/>
      <c r="H110" s="0">
        <f>H109+C110-D110</f>
        <v>6238.55</v>
      </c>
    </row>
    <row r="111">
      <c r="A111"/>
      <c r="B111" t="str">
        <v>Boucherie Ziad Mafroume &amp; Burgers </v>
      </c>
      <c r="C111"/>
      <c r="D111">
        <v>50</v>
      </c>
      <c r="E111"/>
      <c r="F111"/>
      <c r="G111"/>
      <c r="H111">
        <f>H110+C111-D111</f>
        <v>6188.55</v>
      </c>
    </row>
    <row r="112">
      <c r="A112"/>
      <c r="B112" t="str">
        <v>Prodel Disposables</v>
      </c>
      <c r="C112"/>
      <c r="D112">
        <v>160</v>
      </c>
      <c r="E112"/>
      <c r="F112"/>
      <c r="G112"/>
      <c r="H112" s="0">
        <f>H111+C112-D112</f>
        <v>6028.55</v>
      </c>
    </row>
    <row r="113">
      <c r="A113"/>
      <c r="B113" t="str">
        <v>Cynthia Helo</v>
      </c>
      <c r="C113"/>
      <c r="D113">
        <v>25</v>
      </c>
      <c r="E113"/>
      <c r="F113"/>
      <c r="G113"/>
      <c r="H113">
        <f>H112+C113-D113</f>
        <v>6003.55</v>
      </c>
    </row>
    <row r="114">
      <c r="A114"/>
      <c r="B114" t="str">
        <v>Cash Flow (Sanaa)</v>
      </c>
      <c r="C114"/>
      <c r="D114"/>
      <c r="E114"/>
      <c r="F114">
        <v>600</v>
      </c>
      <c r="G114"/>
      <c r="H114">
        <f>H113+C114-D114</f>
        <v>6003.55</v>
      </c>
    </row>
    <row r="115">
      <c r="A115" t="str">
        <v>15-7-2026</v>
      </c>
      <c r="B115" t="str">
        <v>Garderie Le Cocon 43 kids</v>
      </c>
      <c r="C115">
        <v>515</v>
      </c>
      <c r="D115"/>
      <c r="E115"/>
      <c r="F115"/>
      <c r="G115"/>
      <c r="H115" s="0">
        <f>H114+C115-D115</f>
        <v>6518.55</v>
      </c>
    </row>
    <row r="116">
      <c r="A116"/>
      <c r="B116" t="str">
        <v>Maria Abi Nader D.P Birthday 27/7</v>
      </c>
      <c r="C116"/>
      <c r="D116"/>
      <c r="E116"/>
      <c r="F116"/>
      <c r="G116">
        <v>300</v>
      </c>
      <c r="H116" s="0">
        <f>H115+C116-D116</f>
        <v>6518.55</v>
      </c>
    </row>
    <row r="117">
      <c r="A117"/>
      <c r="B117" t="str">
        <v>Lara El Khoury D.P Birthday 24/7</v>
      </c>
      <c r="C117"/>
      <c r="D117"/>
      <c r="E117"/>
      <c r="F117"/>
      <c r="G117">
        <v>300</v>
      </c>
      <c r="H117" s="0">
        <f>H116+C117-D117</f>
        <v>6518.55</v>
      </c>
    </row>
    <row r="118">
      <c r="A118"/>
      <c r="B118" t="str">
        <v>Nour Malek</v>
      </c>
      <c r="C118"/>
      <c r="D118">
        <v>16</v>
      </c>
      <c r="E118"/>
      <c r="F118"/>
      <c r="G118"/>
      <c r="H118">
        <f>H117+C118-D118</f>
        <v>6502.55</v>
      </c>
    </row>
    <row r="119">
      <c r="A119"/>
      <c r="B119" t="str">
        <v>Nour Haybe </v>
      </c>
      <c r="C119"/>
      <c r="D119">
        <v>22</v>
      </c>
      <c r="E119"/>
      <c r="F119"/>
      <c r="G119"/>
      <c r="H119" s="0">
        <f>H118+C119-D119</f>
        <v>6480.55</v>
      </c>
    </row>
    <row r="120">
      <c r="A120"/>
      <c r="B120" t="str">
        <v>Le Marchet selectif </v>
      </c>
      <c r="C120"/>
      <c r="D120">
        <v>130</v>
      </c>
      <c r="E120"/>
      <c r="F120"/>
      <c r="G120"/>
      <c r="H120">
        <f>H119+C120-D120</f>
        <v>6350.55</v>
      </c>
    </row>
    <row r="121">
      <c r="A121"/>
      <c r="B121" t="str">
        <v>Exchange For Sanaa</v>
      </c>
      <c r="C121"/>
      <c r="D121">
        <v>14</v>
      </c>
      <c r="E121"/>
      <c r="F121"/>
      <c r="G121"/>
      <c r="H121" s="0">
        <f>H120+C121-D121</f>
        <v>6336.55</v>
      </c>
    </row>
    <row r="122">
      <c r="A122"/>
      <c r="B122" t="str">
        <v>Cash Flow (Sanaa)</v>
      </c>
      <c r="C122"/>
      <c r="D122"/>
      <c r="E122"/>
      <c r="F122">
        <v>400</v>
      </c>
      <c r="G122"/>
      <c r="H122" s="0">
        <f>H121+C122-D122</f>
        <v>6336.55</v>
      </c>
    </row>
    <row r="123">
      <c r="A123" t="str">
        <v>17-7-2026</v>
      </c>
      <c r="B123" t="str">
        <v>Walk-in Today: Cash In USD (11 Kids)</v>
      </c>
      <c r="C123">
        <v>284</v>
      </c>
      <c r="D123"/>
      <c r="E123"/>
      <c r="F123"/>
      <c r="G123"/>
      <c r="H123">
        <f>H122+C123-D123</f>
        <v>6620.55</v>
      </c>
    </row>
    <row r="124">
      <c r="A124"/>
      <c r="B124" t="str">
        <v>Marianne Tamim D.P Birthday 24/7</v>
      </c>
      <c r="C124"/>
      <c r="D124"/>
      <c r="E124"/>
      <c r="F124"/>
      <c r="G124">
        <v>300</v>
      </c>
      <c r="H124">
        <f>H123+C124-D124</f>
        <v>6620.55</v>
      </c>
    </row>
    <row r="125">
      <c r="A125"/>
      <c r="B125" t="str">
        <v>EDL Little Hands </v>
      </c>
      <c r="C125"/>
      <c r="D125">
        <v>52</v>
      </c>
      <c r="E125"/>
      <c r="F125"/>
      <c r="G125"/>
      <c r="H125" s="0">
        <f>H124+C125-D125</f>
        <v>6568.55</v>
      </c>
    </row>
    <row r="126">
      <c r="A126"/>
      <c r="B126" t="str">
        <v>Citern water For Little Hands</v>
      </c>
      <c r="C126"/>
      <c r="D126">
        <v>80</v>
      </c>
      <c r="E126"/>
      <c r="F126"/>
      <c r="G126"/>
      <c r="H126">
        <f>H125+C126-D126</f>
        <v>6488.55</v>
      </c>
    </row>
    <row r="127">
      <c r="A127"/>
      <c r="B127" t="str">
        <v>Allaf For Farm </v>
      </c>
      <c r="C127"/>
      <c r="D127">
        <v>98</v>
      </c>
      <c r="E127"/>
      <c r="F127"/>
      <c r="G127"/>
      <c r="H127" s="0">
        <f>H126+C127-D127</f>
        <v>6390.55</v>
      </c>
    </row>
    <row r="128">
      <c r="A128"/>
      <c r="B128" t="str">
        <v>Karam Beik</v>
      </c>
      <c r="C128"/>
      <c r="D128">
        <v>53</v>
      </c>
      <c r="E128"/>
      <c r="F128"/>
      <c r="G128"/>
      <c r="H128">
        <f>H127+C128-D128</f>
        <v>6337.55</v>
      </c>
    </row>
    <row r="129">
      <c r="A129"/>
      <c r="B129" t="str">
        <v>Event Megastore </v>
      </c>
      <c r="C129"/>
      <c r="D129">
        <v>5.1</v>
      </c>
      <c r="E129"/>
      <c r="F129"/>
      <c r="G129"/>
      <c r="H129" s="0">
        <f>H128+C129-D129</f>
        <v>6332.45</v>
      </c>
    </row>
    <row r="130">
      <c r="A130"/>
      <c r="B130" t="str">
        <v>Lteif Market </v>
      </c>
      <c r="C130"/>
      <c r="D130">
        <v>9.17</v>
      </c>
      <c r="E130"/>
      <c r="F130"/>
      <c r="G130"/>
      <c r="H130">
        <f>H129+C130-D130</f>
        <v>6323.28</v>
      </c>
    </row>
    <row r="131">
      <c r="A131"/>
      <c r="B131" t="str">
        <v>zaatar Manakich</v>
      </c>
      <c r="C131"/>
      <c r="D131">
        <v>18</v>
      </c>
      <c r="E131"/>
      <c r="F131"/>
      <c r="G131"/>
      <c r="H131" s="0">
        <f>H130+C131-D131</f>
        <v>6305.28</v>
      </c>
    </row>
    <row r="132">
      <c r="A132"/>
      <c r="B132" t="str">
        <v>spray Rash </v>
      </c>
      <c r="C132"/>
      <c r="D132">
        <v>7</v>
      </c>
      <c r="E132"/>
      <c r="F132"/>
      <c r="G132"/>
      <c r="H132">
        <f>H131+C132-D132</f>
        <v>6298.28</v>
      </c>
    </row>
    <row r="133">
      <c r="A133"/>
      <c r="B133" t="str">
        <v>Birthday Alex Khoury</v>
      </c>
      <c r="C133">
        <v>520</v>
      </c>
      <c r="D133"/>
      <c r="E133"/>
      <c r="F133"/>
      <c r="G133"/>
      <c r="H133" s="0">
        <f>H132+C133-D133</f>
        <v>6818.28</v>
      </c>
    </row>
    <row r="134">
      <c r="A134"/>
      <c r="B134" t="str">
        <v>Nour Haybe </v>
      </c>
      <c r="C134"/>
      <c r="D134">
        <v>26</v>
      </c>
      <c r="E134"/>
      <c r="F134"/>
      <c r="G134"/>
      <c r="H134">
        <f>H133+C134-D134</f>
        <v>6792.28</v>
      </c>
    </row>
    <row r="135">
      <c r="A135"/>
      <c r="B135" t="str">
        <v>Nour Malek Face Painting </v>
      </c>
      <c r="C135"/>
      <c r="D135">
        <v>30</v>
      </c>
      <c r="E135"/>
      <c r="F135"/>
      <c r="G135"/>
      <c r="H135" s="0">
        <f>H134+C135-D135</f>
        <v>6762.28</v>
      </c>
    </row>
    <row r="136">
      <c r="A136"/>
      <c r="B136" t="str">
        <v>Cynthia Hello </v>
      </c>
      <c r="C136"/>
      <c r="D136">
        <v>26</v>
      </c>
      <c r="E136"/>
      <c r="F136"/>
      <c r="G136"/>
      <c r="H136">
        <f>H135+C136-D136</f>
        <v>6736.28</v>
      </c>
    </row>
    <row r="137">
      <c r="A137"/>
      <c r="B137" t="str">
        <v>Spinneys Birthday </v>
      </c>
      <c r="C137"/>
      <c r="D137"/>
      <c r="E137">
        <v>300</v>
      </c>
      <c r="F137"/>
      <c r="G137"/>
      <c r="H137">
        <f>H136+C137-D137</f>
        <v>6736.28</v>
      </c>
    </row>
    <row r="138">
      <c r="A138"/>
      <c r="B138" t="str">
        <v>Cash Flow (Sanaa)</v>
      </c>
      <c r="C138"/>
      <c r="D138"/>
      <c r="E138"/>
      <c r="F138">
        <v>420</v>
      </c>
      <c r="G138"/>
      <c r="H138">
        <f>H137+C138-D138</f>
        <v>6736.28</v>
      </c>
    </row>
    <row r="139">
      <c r="A139" t="str">
        <v>18-7-2026</v>
      </c>
      <c r="B139" t="str">
        <v>Karam Bek </v>
      </c>
      <c r="C139"/>
      <c r="D139">
        <v>75</v>
      </c>
      <c r="E139"/>
      <c r="F139"/>
      <c r="G139"/>
      <c r="H139" s="0">
        <f>H138+C139-D139</f>
        <v>6661.28</v>
      </c>
    </row>
    <row r="140">
      <c r="A140"/>
      <c r="B140" t="str">
        <v>spinneys </v>
      </c>
      <c r="C140"/>
      <c r="D140">
        <v>51</v>
      </c>
      <c r="E140"/>
      <c r="F140"/>
      <c r="G140"/>
      <c r="H140">
        <f>H139+C140-D140</f>
        <v>6610.28</v>
      </c>
    </row>
    <row r="141">
      <c r="A141"/>
      <c r="B141" t="str">
        <v>spinneys </v>
      </c>
      <c r="C141"/>
      <c r="D141">
        <v>20</v>
      </c>
      <c r="E141"/>
      <c r="F141"/>
      <c r="G141"/>
      <c r="H141" s="0">
        <f>H140+C141-D141</f>
        <v>6590.28</v>
      </c>
    </row>
    <row r="142">
      <c r="A142"/>
      <c r="B142" t="str">
        <v>Storium </v>
      </c>
      <c r="C142"/>
      <c r="D142">
        <v>20</v>
      </c>
      <c r="E142"/>
      <c r="F142"/>
      <c r="G142"/>
      <c r="H142">
        <f>H141+C142-D142</f>
        <v>6570.28</v>
      </c>
    </row>
    <row r="143">
      <c r="A143"/>
      <c r="B143" t="str">
        <v>firco International ( Workshop birthday )</v>
      </c>
      <c r="C143"/>
      <c r="D143">
        <v>104</v>
      </c>
      <c r="E143"/>
      <c r="F143"/>
      <c r="G143"/>
      <c r="H143" s="0">
        <f>H142+C143-D143</f>
        <v>6466.28</v>
      </c>
    </row>
    <row r="144">
      <c r="A144"/>
      <c r="B144" t="str">
        <v>Spinneys </v>
      </c>
      <c r="C144"/>
      <c r="D144">
        <v>75</v>
      </c>
      <c r="E144"/>
      <c r="F144"/>
      <c r="G144"/>
      <c r="H144">
        <f>H143+C144-D144</f>
        <v>6391.28</v>
      </c>
    </row>
    <row r="145">
      <c r="A145"/>
      <c r="B145" t="str">
        <v>Balkis </v>
      </c>
      <c r="C145"/>
      <c r="D145">
        <v>22.5</v>
      </c>
      <c r="E145"/>
      <c r="F145"/>
      <c r="G145"/>
      <c r="H145" s="0">
        <f>H144+C145-D145</f>
        <v>6368.78</v>
      </c>
    </row>
    <row r="146">
      <c r="A146"/>
      <c r="B146" t="str">
        <v>Mallah Clay </v>
      </c>
      <c r="C146"/>
      <c r="D146">
        <v>15</v>
      </c>
      <c r="E146"/>
      <c r="F146"/>
      <c r="G146"/>
      <c r="H146">
        <f>H145+C146-D146</f>
        <v>6353.78</v>
      </c>
    </row>
    <row r="147">
      <c r="A147"/>
      <c r="B147" t="str">
        <v>Mallah Printing Clay Workshops </v>
      </c>
      <c r="C147"/>
      <c r="D147">
        <v>77</v>
      </c>
      <c r="E147"/>
      <c r="F147"/>
      <c r="G147"/>
      <c r="H147" s="0">
        <f>H146+C147-D147</f>
        <v>6276.78</v>
      </c>
    </row>
    <row r="148">
      <c r="A148"/>
      <c r="B148" t="str">
        <v>Le Marchet Selectif </v>
      </c>
      <c r="C148"/>
      <c r="D148">
        <v>200</v>
      </c>
      <c r="E148"/>
      <c r="F148"/>
      <c r="G148"/>
      <c r="H148">
        <f>H147+C148-D148</f>
        <v>6076.78</v>
      </c>
    </row>
    <row r="149">
      <c r="A149"/>
      <c r="B149" t="str">
        <v>Disposbles </v>
      </c>
      <c r="C149"/>
      <c r="D149">
        <v>135</v>
      </c>
      <c r="E149"/>
      <c r="F149"/>
      <c r="G149"/>
      <c r="H149" s="0">
        <f>H148+C149-D149</f>
        <v>5941.78</v>
      </c>
    </row>
    <row r="150">
      <c r="A150"/>
      <c r="B150" t="str">
        <v>Luigi, Boucherie Ziad </v>
      </c>
      <c r="C150"/>
      <c r="D150"/>
      <c r="E150">
        <v>200</v>
      </c>
      <c r="F150"/>
      <c r="G150"/>
      <c r="H150" s="0">
        <f>H149+C150-D150</f>
        <v>5941.78</v>
      </c>
    </row>
    <row r="151">
      <c r="A151"/>
      <c r="B151" t="str">
        <v>Cash Flow (Sanaa)</v>
      </c>
      <c r="C151"/>
      <c r="D151"/>
      <c r="E151"/>
      <c r="F151">
        <v>400</v>
      </c>
      <c r="G151"/>
      <c r="H151" s="0">
        <f>H150+C151-D151</f>
        <v>5941.78</v>
      </c>
    </row>
    <row r="152">
      <c r="A152"/>
      <c r="B152" t="str">
        <v>Birthday Cynthia Matar</v>
      </c>
      <c r="C152">
        <v>1150</v>
      </c>
      <c r="D152"/>
      <c r="E152"/>
      <c r="F152"/>
      <c r="G152"/>
      <c r="H152">
        <f>H151+C152-D152</f>
        <v>7091.78</v>
      </c>
    </row>
    <row r="153">
      <c r="A153"/>
      <c r="B153" t="str">
        <v>Soils Permacultura Association Lebanon</v>
      </c>
      <c r="C153">
        <v>100</v>
      </c>
      <c r="D153"/>
      <c r="E153"/>
      <c r="F153"/>
      <c r="G153"/>
      <c r="H153" s="0">
        <f>H152+C153-D153</f>
        <v>7191.78</v>
      </c>
    </row>
    <row r="154">
      <c r="A154"/>
      <c r="B154" t="str">
        <v>Le Marchet selectif Birthday (17-18)</v>
      </c>
      <c r="C154"/>
      <c r="D154">
        <v>252</v>
      </c>
      <c r="E154"/>
      <c r="F154"/>
      <c r="G154"/>
      <c r="H154">
        <f>H153+C154-D154</f>
        <v>6939.78</v>
      </c>
    </row>
    <row r="155">
      <c r="A155"/>
      <c r="B155" t="str">
        <v>Cynthia Hello </v>
      </c>
      <c r="C155"/>
      <c r="D155">
        <v>31</v>
      </c>
      <c r="E155"/>
      <c r="F155"/>
      <c r="G155"/>
      <c r="H155" s="0">
        <f>H154+C155-D155</f>
        <v>6908.78</v>
      </c>
    </row>
    <row r="156">
      <c r="A156"/>
      <c r="B156" t="str">
        <v>Nour Haybe</v>
      </c>
      <c r="C156"/>
      <c r="D156">
        <v>22</v>
      </c>
      <c r="E156"/>
      <c r="F156"/>
      <c r="G156"/>
      <c r="H156">
        <f>H155+C156-D156</f>
        <v>6886.78</v>
      </c>
    </row>
    <row r="157">
      <c r="A157"/>
      <c r="B157" t="str">
        <v>Luccianna </v>
      </c>
      <c r="C157"/>
      <c r="D157">
        <v>21</v>
      </c>
      <c r="E157"/>
      <c r="F157"/>
      <c r="G157"/>
      <c r="H157" s="0">
        <f>H156+C157-D157</f>
        <v>6865.78</v>
      </c>
    </row>
    <row r="158">
      <c r="A158"/>
      <c r="B158" t="str">
        <v>Cash Walk-In </v>
      </c>
      <c r="C158">
        <v>330</v>
      </c>
      <c r="D158"/>
      <c r="E158"/>
      <c r="F158"/>
      <c r="G158"/>
      <c r="H158">
        <f>H157+C158-D158</f>
        <v>7195.78</v>
      </c>
    </row>
    <row r="159">
      <c r="A159" t="str">
        <v>19-7-2026</v>
      </c>
      <c r="B159" t="str">
        <v>Cash Walk-In </v>
      </c>
      <c r="C159">
        <v>77</v>
      </c>
      <c r="D159"/>
      <c r="E159"/>
      <c r="F159"/>
      <c r="G159"/>
      <c r="H159" s="0">
        <f>H158+C159-D159</f>
        <v>7272.78</v>
      </c>
    </row>
    <row r="160">
      <c r="A160"/>
      <c r="B160" t="str">
        <v>Birthday Heather Sent Via Wish To Sanaa </v>
      </c>
      <c r="C160">
        <v>525</v>
      </c>
      <c r="D160"/>
      <c r="E160"/>
      <c r="F160">
        <v>420</v>
      </c>
      <c r="G160"/>
      <c r="H160">
        <f>H159+C160-D160</f>
        <v>7797.78</v>
      </c>
    </row>
    <row r="161">
      <c r="A161"/>
      <c r="B161" t="str">
        <v>Cynthia Hello </v>
      </c>
      <c r="C161"/>
      <c r="D161">
        <v>32</v>
      </c>
      <c r="E161"/>
      <c r="F161"/>
      <c r="G161"/>
      <c r="H161" s="0">
        <f>H160+C161-D161</f>
        <v>7765.78</v>
      </c>
    </row>
    <row r="162">
      <c r="A162"/>
      <c r="B162" t="str">
        <v>Nour Malek </v>
      </c>
      <c r="C162"/>
      <c r="D162">
        <v>20</v>
      </c>
      <c r="E162"/>
      <c r="F162"/>
      <c r="G162"/>
      <c r="H162">
        <f>H161+C162-D162</f>
        <v>7745.78</v>
      </c>
    </row>
    <row r="163">
      <c r="A163"/>
      <c r="B163" t="str">
        <v>Maria Asmar </v>
      </c>
      <c r="C163"/>
      <c r="D163">
        <v>15</v>
      </c>
      <c r="E163"/>
      <c r="F163"/>
      <c r="G163"/>
      <c r="H163" s="0">
        <f>H162+C163-D163</f>
        <v>7730.78</v>
      </c>
    </row>
    <row r="164">
      <c r="A164"/>
      <c r="B164" t="str">
        <v>Nour Haybe</v>
      </c>
      <c r="C164"/>
      <c r="D164">
        <v>22</v>
      </c>
      <c r="E164"/>
      <c r="F164"/>
      <c r="G164"/>
      <c r="H164">
        <f>H163+C164-D164</f>
        <v>7708.78</v>
      </c>
    </row>
    <row r="165">
      <c r="A165" t="str">
        <v>22-7-2026</v>
      </c>
      <c r="B165" t="str">
        <v>Rabieh Summer Camp</v>
      </c>
      <c r="C165">
        <v>660</v>
      </c>
      <c r="D165"/>
      <c r="E165"/>
      <c r="F165"/>
      <c r="G165"/>
      <c r="H165" s="0">
        <f>H164+C165-D165</f>
        <v>8368.78</v>
      </c>
    </row>
    <row r="166">
      <c r="A166"/>
      <c r="B166" t="str">
        <v>Laura Ajamian Birthday D.P 31-7-2026</v>
      </c>
      <c r="C166"/>
      <c r="D166"/>
      <c r="E166"/>
      <c r="F166"/>
      <c r="G166">
        <v>100</v>
      </c>
      <c r="H166" s="0">
        <f>H165+C166-D166</f>
        <v>8368.78</v>
      </c>
    </row>
    <row r="167">
      <c r="A167"/>
      <c r="B167" t="str">
        <v>Event Megastore </v>
      </c>
      <c r="C167"/>
      <c r="D167">
        <v>27.3</v>
      </c>
      <c r="E167"/>
      <c r="F167"/>
      <c r="G167"/>
      <c r="H167">
        <f>H166+C167-D167</f>
        <v>8341.48</v>
      </c>
    </row>
    <row r="168">
      <c r="A168"/>
      <c r="B168" t="str">
        <v>Librarie Mallah </v>
      </c>
      <c r="C168"/>
      <c r="D168">
        <v>29.88</v>
      </c>
      <c r="E168"/>
      <c r="F168"/>
      <c r="G168"/>
      <c r="H168" s="0">
        <f>H167+C168-D168</f>
        <v>8311.6</v>
      </c>
    </row>
    <row r="169">
      <c r="A169"/>
      <c r="B169" t="str">
        <v>le marchet Selectif (Old Invoices)</v>
      </c>
      <c r="C169"/>
      <c r="D169">
        <v>160</v>
      </c>
      <c r="E169"/>
      <c r="F169"/>
      <c r="G169"/>
      <c r="H169">
        <f>H168+C169-D169</f>
        <v>8151.6</v>
      </c>
    </row>
    <row r="170">
      <c r="A170"/>
      <c r="B170" t="str">
        <v>Spray Hacharat</v>
      </c>
      <c r="C170"/>
      <c r="D170">
        <v>1.22</v>
      </c>
      <c r="E170"/>
      <c r="F170"/>
      <c r="G170"/>
      <c r="H170" s="0">
        <f>H169+C170-D170</f>
        <v>8150.38</v>
      </c>
    </row>
    <row r="171">
      <c r="A171"/>
      <c r="B171" t="str">
        <v>Ramel Mgharbal</v>
      </c>
      <c r="C171"/>
      <c r="D171">
        <v>26</v>
      </c>
      <c r="E171"/>
      <c r="F171"/>
      <c r="G171"/>
      <c r="H171">
        <f>H170+C171-D171</f>
        <v>8124.38</v>
      </c>
    </row>
    <row r="172">
      <c r="A172"/>
      <c r="B172" t="str">
        <v>Zaatar</v>
      </c>
      <c r="C172"/>
      <c r="D172">
        <v>6.8</v>
      </c>
      <c r="E172"/>
      <c r="F172"/>
      <c r="G172"/>
      <c r="H172" s="0">
        <f>H171+C172-D172</f>
        <v>8117.58</v>
      </c>
    </row>
    <row r="173">
      <c r="A173"/>
      <c r="B173" t="str">
        <v>Internet Little Hands</v>
      </c>
      <c r="C173"/>
      <c r="D173">
        <v>100</v>
      </c>
      <c r="E173"/>
      <c r="F173"/>
      <c r="G173"/>
      <c r="H173">
        <f>H172+C173-D173</f>
        <v>8017.58</v>
      </c>
    </row>
    <row r="174">
      <c r="A174"/>
      <c r="B174" t="str">
        <v>Thaer </v>
      </c>
      <c r="C174"/>
      <c r="D174">
        <v>37</v>
      </c>
      <c r="E174"/>
      <c r="F174"/>
      <c r="G174"/>
      <c r="H174" s="0">
        <f>H173+C174-D174</f>
        <v>7980.58</v>
      </c>
    </row>
    <row r="175">
      <c r="A175"/>
      <c r="B175" t="str">
        <v>Ghaz Little Hands</v>
      </c>
      <c r="C175"/>
      <c r="D175">
        <v>48</v>
      </c>
      <c r="E175"/>
      <c r="F175"/>
      <c r="G175"/>
      <c r="H175">
        <f>H174+C175-D175</f>
        <v>7932.58</v>
      </c>
    </row>
    <row r="176">
      <c r="A176"/>
      <c r="B176" t="str">
        <v>Return Tou Youssef </v>
      </c>
      <c r="C176"/>
      <c r="D176">
        <v>50</v>
      </c>
      <c r="E176"/>
      <c r="F176"/>
      <c r="G176"/>
      <c r="H176" s="0">
        <f>H175+C176-D176</f>
        <v>7882.58</v>
      </c>
    </row>
    <row r="177">
      <c r="A177"/>
      <c r="B177" t="str">
        <v>Cash Flow sanaa </v>
      </c>
      <c r="C177"/>
      <c r="D177"/>
      <c r="E177"/>
      <c r="F177">
        <v>200</v>
      </c>
      <c r="G177"/>
      <c r="H177" s="0">
        <f>H176+C177-D177</f>
        <v>7882.58</v>
      </c>
    </row>
    <row r="178">
      <c r="A178" t="str">
        <v>24-7-2026</v>
      </c>
      <c r="B178" t="str">
        <v>Birthday Marianne Tamim </v>
      </c>
      <c r="C178">
        <v>450</v>
      </c>
      <c r="D178"/>
      <c r="E178"/>
      <c r="F178"/>
      <c r="G178"/>
      <c r="H178">
        <f>H177+C178-D178</f>
        <v>8332.58</v>
      </c>
    </row>
    <row r="179">
      <c r="A179"/>
      <c r="B179" t="str">
        <v>Angelina Working H</v>
      </c>
      <c r="C179"/>
      <c r="D179">
        <v>21</v>
      </c>
      <c r="E179"/>
      <c r="F179"/>
      <c r="G179"/>
      <c r="H179" s="0">
        <f>H178+C179-D179</f>
        <v>8311.58</v>
      </c>
    </row>
    <row r="180">
      <c r="A180"/>
      <c r="B180" t="str">
        <v>Nour Haybe </v>
      </c>
      <c r="C180"/>
      <c r="D180">
        <v>26</v>
      </c>
      <c r="E180"/>
      <c r="F180"/>
      <c r="G180"/>
      <c r="H180">
        <f>H179+C180-D180</f>
        <v>8285.58</v>
      </c>
    </row>
    <row r="181">
      <c r="A181"/>
      <c r="B181" t="str">
        <v>Mariam Fegir</v>
      </c>
      <c r="C181"/>
      <c r="D181">
        <v>15</v>
      </c>
      <c r="E181"/>
      <c r="F181"/>
      <c r="G181"/>
      <c r="H181" s="0">
        <f>H180+C181-D181</f>
        <v>8270.58</v>
      </c>
    </row>
    <row r="182">
      <c r="A182"/>
      <c r="B182" t="str">
        <v>Le Marchet Selectif </v>
      </c>
      <c r="C182"/>
      <c r="D182">
        <v>100</v>
      </c>
      <c r="E182"/>
      <c r="F182"/>
      <c r="G182"/>
      <c r="H182">
        <f>H181+C182-D182</f>
        <v>8170.58</v>
      </c>
    </row>
    <row r="183">
      <c r="A183"/>
      <c r="B183" t="str">
        <v>Spinneys Food supplies For Birthdays 24-25-26</v>
      </c>
      <c r="C183"/>
      <c r="D183"/>
      <c r="E183">
        <v>400</v>
      </c>
      <c r="F183"/>
      <c r="G183"/>
      <c r="H183">
        <f>H182+C183-D183</f>
        <v>8170.58</v>
      </c>
    </row>
    <row r="184">
      <c r="A184"/>
      <c r="B184" t="str">
        <v>Event Megastore </v>
      </c>
      <c r="C184"/>
      <c r="D184"/>
      <c r="E184">
        <v>78.54</v>
      </c>
      <c r="F184"/>
      <c r="G184"/>
      <c r="H184">
        <f>H183+C184-D184</f>
        <v>8170.58</v>
      </c>
    </row>
    <row r="185">
      <c r="A185"/>
      <c r="B185" t="str">
        <v>Event Megastore </v>
      </c>
      <c r="C185"/>
      <c r="D185"/>
      <c r="E185">
        <v>18</v>
      </c>
      <c r="F185"/>
      <c r="G185"/>
      <c r="H185">
        <f>H184+C185-D185</f>
        <v>8170.58</v>
      </c>
    </row>
    <row r="186">
      <c r="A186"/>
      <c r="B186" t="str">
        <v>Le Charcutier </v>
      </c>
      <c r="C186"/>
      <c r="D186"/>
      <c r="E186">
        <v>46.22</v>
      </c>
      <c r="F186"/>
      <c r="G186"/>
      <c r="H186">
        <f>H185+C186-D186</f>
        <v>8170.58</v>
      </c>
    </row>
    <row r="187">
      <c r="A187"/>
      <c r="B187" t="str">
        <v>Librarie Mallah </v>
      </c>
      <c r="C187"/>
      <c r="D187"/>
      <c r="E187">
        <v>47.4</v>
      </c>
      <c r="F187"/>
      <c r="G187"/>
      <c r="H187">
        <f>H186+C187-D187</f>
        <v>8170.58</v>
      </c>
    </row>
    <row r="188">
      <c r="A188"/>
      <c r="B188" t="str">
        <v>Walk-in Cash</v>
      </c>
      <c r="C188">
        <v>228</v>
      </c>
      <c r="D188"/>
      <c r="E188"/>
      <c r="F188"/>
      <c r="G188"/>
      <c r="H188" s="0">
        <f>H187+C188-D188</f>
        <v>8398.58</v>
      </c>
    </row>
    <row r="189">
      <c r="A189"/>
      <c r="B189" t="str">
        <v>Cash Flow sanaa </v>
      </c>
      <c r="C189"/>
      <c r="D189"/>
      <c r="E189"/>
      <c r="F189">
        <v>550</v>
      </c>
      <c r="G189"/>
      <c r="H189" s="0">
        <f>H188+C189-D189</f>
        <v>8398.58</v>
      </c>
    </row>
    <row r="190">
      <c r="A190" t="str">
        <v>25-7-2026</v>
      </c>
      <c r="B190" t="str">
        <v>Birthday Laura Khoury </v>
      </c>
      <c r="C190">
        <v>650</v>
      </c>
      <c r="D190"/>
      <c r="E190"/>
      <c r="F190"/>
      <c r="G190"/>
      <c r="H190">
        <f>H189+C190-D190</f>
        <v>9048.58</v>
      </c>
    </row>
    <row r="191">
      <c r="A191"/>
      <c r="B191" t="str">
        <v>Walk-in cash </v>
      </c>
      <c r="C191">
        <v>110</v>
      </c>
      <c r="D191"/>
      <c r="E191"/>
      <c r="F191"/>
      <c r="G191"/>
      <c r="H191" s="0">
        <f>H190+C191-D191</f>
        <v>9158.58</v>
      </c>
    </row>
    <row r="192">
      <c r="A192"/>
      <c r="B192" t="str">
        <v>Thaer </v>
      </c>
      <c r="C192"/>
      <c r="D192">
        <v>100</v>
      </c>
      <c r="E192"/>
      <c r="F192"/>
      <c r="G192"/>
      <c r="H192">
        <f>H191+C192-D192</f>
        <v>9058.58</v>
      </c>
    </row>
    <row r="193">
      <c r="A193"/>
      <c r="B193" t="str">
        <v>Citern water </v>
      </c>
      <c r="C193"/>
      <c r="D193">
        <v>80</v>
      </c>
      <c r="E193"/>
      <c r="F193"/>
      <c r="G193"/>
      <c r="H193" s="0">
        <f>H192+C193-D193</f>
        <v>8978.58</v>
      </c>
    </row>
    <row r="194">
      <c r="A194"/>
      <c r="B194" t="str">
        <v>Nour Hyabe </v>
      </c>
      <c r="C194"/>
      <c r="D194">
        <v>38</v>
      </c>
      <c r="E194"/>
      <c r="F194"/>
      <c r="G194"/>
      <c r="H194">
        <f>H193+C194-D194</f>
        <v>8940.58</v>
      </c>
    </row>
    <row r="195">
      <c r="A195"/>
      <c r="B195" t="str">
        <v>Cynthia Hello </v>
      </c>
      <c r="C195"/>
      <c r="D195">
        <v>35</v>
      </c>
      <c r="E195"/>
      <c r="F195"/>
      <c r="G195"/>
      <c r="H195" s="0">
        <f>H194+C195-D195</f>
        <v>8905.58</v>
      </c>
    </row>
    <row r="196">
      <c r="A196"/>
      <c r="B196" t="str">
        <v>Karam Bake Old Invoice </v>
      </c>
      <c r="C196"/>
      <c r="D196">
        <v>49</v>
      </c>
      <c r="E196"/>
      <c r="F196"/>
      <c r="G196"/>
      <c r="H196">
        <f>H195+C196-D196</f>
        <v>8856.58</v>
      </c>
    </row>
    <row r="197">
      <c r="A197"/>
      <c r="B197" t="str">
        <v>Le Marchet Selectif </v>
      </c>
      <c r="C197"/>
      <c r="D197"/>
      <c r="E197">
        <v>195</v>
      </c>
      <c r="F197"/>
      <c r="G197"/>
      <c r="H197">
        <f>H196+C197-D197</f>
        <v>8856.58</v>
      </c>
    </row>
    <row r="198">
      <c r="A198"/>
      <c r="B198" t="str">
        <v>Amal Burgers For 2 days</v>
      </c>
      <c r="C198"/>
      <c r="D198"/>
      <c r="E198">
        <v>125</v>
      </c>
      <c r="F198"/>
      <c r="G198"/>
      <c r="H198">
        <f>H197+C198-D198</f>
        <v>8856.58</v>
      </c>
    </row>
    <row r="199">
      <c r="A199"/>
      <c r="B199" t="str">
        <v>karam Bake For 2 Days </v>
      </c>
      <c r="C199"/>
      <c r="D199"/>
      <c r="E199">
        <v>162</v>
      </c>
      <c r="F199"/>
      <c r="G199"/>
      <c r="H199">
        <f>H198+C199-D199</f>
        <v>8856.58</v>
      </c>
    </row>
    <row r="200">
      <c r="A200"/>
      <c r="B200" t="str">
        <v>Cash Flow (Sanaa)</v>
      </c>
      <c r="C200"/>
      <c r="D200"/>
      <c r="E200"/>
      <c r="F200">
        <v>500</v>
      </c>
      <c r="G200"/>
      <c r="H200">
        <f>H199+C200-D200</f>
        <v>8856.58</v>
      </c>
    </row>
    <row r="201">
      <c r="A201" t="str">
        <v>26-7-2026</v>
      </c>
      <c r="B201" t="str">
        <v>Birthday Lara khoury </v>
      </c>
      <c r="C201">
        <v>1690</v>
      </c>
      <c r="D201"/>
      <c r="E201"/>
      <c r="F201"/>
      <c r="G201"/>
      <c r="H201" s="0">
        <f>H200+C201-D201</f>
        <v>10546.58</v>
      </c>
    </row>
    <row r="202">
      <c r="A202"/>
      <c r="B202" t="str">
        <v>Le amrchet Selectif </v>
      </c>
      <c r="C202"/>
      <c r="D202">
        <v>150</v>
      </c>
      <c r="E202"/>
      <c r="F202"/>
      <c r="G202"/>
      <c r="H202">
        <f>H201+C202-D202</f>
        <v>10396.58</v>
      </c>
    </row>
    <row r="203">
      <c r="A203"/>
      <c r="B203" t="str">
        <v>Geryes Malek </v>
      </c>
      <c r="C203"/>
      <c r="D203">
        <v>200</v>
      </c>
      <c r="E203"/>
      <c r="F203"/>
      <c r="G203"/>
      <c r="H203" s="0">
        <f>H202+C203-D203</f>
        <v>10196.58</v>
      </c>
    </row>
    <row r="204">
      <c r="A204"/>
      <c r="B204" t="str">
        <v>Spinneys </v>
      </c>
      <c r="C204"/>
      <c r="D204">
        <v>160</v>
      </c>
      <c r="E204"/>
      <c r="F204"/>
      <c r="G204"/>
      <c r="H204">
        <f>H203+C204-D204</f>
        <v>10036.58</v>
      </c>
    </row>
    <row r="205">
      <c r="A205"/>
      <c r="B205" t="str">
        <v>Kitchen Tools</v>
      </c>
      <c r="C205"/>
      <c r="D205">
        <v>165</v>
      </c>
      <c r="E205"/>
      <c r="F205"/>
      <c r="G205"/>
      <c r="H205" s="0">
        <f>H204+C205-D205</f>
        <v>9871.58</v>
      </c>
    </row>
    <row r="206">
      <c r="A206"/>
      <c r="B206" t="str">
        <v>Lara Cleaning Extra 5 H</v>
      </c>
      <c r="C206"/>
      <c r="D206">
        <v>25</v>
      </c>
      <c r="E206"/>
      <c r="F206"/>
      <c r="G206"/>
      <c r="H206">
        <f>H205+C206-D206</f>
        <v>9846.58</v>
      </c>
    </row>
    <row r="207">
      <c r="A207"/>
      <c r="B207" t="str">
        <v>Nour Malek </v>
      </c>
      <c r="C207"/>
      <c r="D207">
        <v>22</v>
      </c>
      <c r="E207"/>
      <c r="F207"/>
      <c r="G207"/>
      <c r="H207" s="0">
        <f>H206+C207-D207</f>
        <v>9824.58</v>
      </c>
    </row>
    <row r="208">
      <c r="A208"/>
      <c r="B208" t="str">
        <v>Lucciana </v>
      </c>
      <c r="C208"/>
      <c r="D208">
        <v>17</v>
      </c>
      <c r="E208"/>
      <c r="F208"/>
      <c r="G208"/>
      <c r="H208">
        <f>H207+C208-D208</f>
        <v>9807.58</v>
      </c>
    </row>
    <row r="209">
      <c r="A209"/>
      <c r="B209" t="str">
        <v>Cynthia Hello</v>
      </c>
      <c r="C209"/>
      <c r="D209">
        <v>25</v>
      </c>
      <c r="E209"/>
      <c r="F209"/>
      <c r="G209"/>
      <c r="H209" s="0">
        <f>H208+C209-D209</f>
        <v>9782.58</v>
      </c>
    </row>
    <row r="210">
      <c r="A210"/>
      <c r="B210" t="str">
        <v>Nour Haybe </v>
      </c>
      <c r="C210"/>
      <c r="D210">
        <v>28</v>
      </c>
      <c r="E210"/>
      <c r="F210"/>
      <c r="G210"/>
      <c r="H210">
        <f>H209+C210-D210</f>
        <v>9754.58</v>
      </c>
    </row>
    <row r="211">
      <c r="A211"/>
      <c r="B211" t="str">
        <v>Cash Flow sanaa </v>
      </c>
      <c r="C211"/>
      <c r="D211"/>
      <c r="E211"/>
      <c r="F211">
        <v>900</v>
      </c>
      <c r="G211"/>
      <c r="H211">
        <f>H210+C211-D211</f>
        <v>9754.58</v>
      </c>
    </row>
    <row r="212">
      <c r="A212" t="str">
        <v>27-7-2026</v>
      </c>
      <c r="B212" t="str">
        <v>Birthday Athenas</v>
      </c>
      <c r="C212">
        <f>'27-7-2026'!E5</f>
        <v>1477</v>
      </c>
      <c r="D212"/>
      <c r="E212"/>
      <c r="F212"/>
      <c r="G212"/>
      <c r="H212" s="0">
        <f>H211+C212-D212</f>
        <v>11231.58</v>
      </c>
    </row>
    <row r="213">
      <c r="A213"/>
      <c r="B213"/>
      <c r="C213"/>
      <c r="D213">
        <v>0</v>
      </c>
      <c r="E213"/>
      <c r="F213"/>
      <c r="G213"/>
      <c r="H213">
        <f>H212+C213-D213</f>
        <v>11231.58</v>
      </c>
    </row>
    <row r="214">
      <c r="A214"/>
      <c r="B214" t="str">
        <v>Le Marchet Selectif </v>
      </c>
      <c r="C214"/>
      <c r="D214">
        <v>112</v>
      </c>
      <c r="E214"/>
      <c r="F214"/>
      <c r="G214"/>
      <c r="H214" s="0">
        <f>H213+C214-D214</f>
        <v>11119.58</v>
      </c>
    </row>
    <row r="215">
      <c r="A215"/>
      <c r="B215" t="str">
        <v>Karam Bake</v>
      </c>
      <c r="C215"/>
      <c r="D215">
        <v>75</v>
      </c>
      <c r="E215"/>
      <c r="F215"/>
      <c r="G215"/>
      <c r="H215">
        <f>H214+C215-D215</f>
        <v>11044.58</v>
      </c>
    </row>
    <row r="216">
      <c r="A216"/>
      <c r="B216" t="str">
        <v>Fairco </v>
      </c>
      <c r="C216"/>
      <c r="D216">
        <v>16</v>
      </c>
      <c r="E216"/>
      <c r="F216"/>
      <c r="G216"/>
      <c r="H216" s="0">
        <f>H215+C216-D216</f>
        <v>11028.58</v>
      </c>
    </row>
    <row r="217">
      <c r="A217"/>
      <c r="B217" t="str">
        <v>Boucherie Ziad 4 days Birthday’s</v>
      </c>
      <c r="C217"/>
      <c r="D217">
        <v>118</v>
      </c>
      <c r="E217"/>
      <c r="F217"/>
      <c r="G217"/>
      <c r="H217">
        <f>H216+C217-D217</f>
        <v>10910.58</v>
      </c>
    </row>
    <row r="218">
      <c r="A218"/>
      <c r="B218" t="str">
        <v>Fairco </v>
      </c>
      <c r="C218"/>
      <c r="D218">
        <v>26</v>
      </c>
      <c r="E218"/>
      <c r="F218"/>
      <c r="G218"/>
      <c r="H218" s="0">
        <f>H217+C218-D218</f>
        <v>10884.58</v>
      </c>
    </row>
    <row r="219">
      <c r="A219"/>
      <c r="B219" t="str">
        <v>Firas ( Youssef)</v>
      </c>
      <c r="C219"/>
      <c r="D219">
        <v>200</v>
      </c>
      <c r="E219"/>
      <c r="F219"/>
      <c r="G219"/>
      <c r="H219">
        <f>H218+C219-D219</f>
        <v>10684.58</v>
      </c>
    </row>
    <row r="220">
      <c r="A220"/>
      <c r="B220" t="str">
        <v>Nour Haybe</v>
      </c>
      <c r="C220"/>
      <c r="D220">
        <v>22</v>
      </c>
      <c r="E220"/>
      <c r="F220"/>
      <c r="G220"/>
      <c r="H220" s="0">
        <f>H219+C220-D220</f>
        <v>10662.58</v>
      </c>
    </row>
    <row r="221">
      <c r="A221"/>
      <c r="B221" t="str">
        <v>Mariam </v>
      </c>
      <c r="C221"/>
      <c r="D221">
        <v>18</v>
      </c>
      <c r="E221"/>
      <c r="F221"/>
      <c r="G221"/>
      <c r="H221">
        <f>H220+C221-D221</f>
        <v>10644.58</v>
      </c>
    </row>
    <row r="222">
      <c r="A222"/>
      <c r="B222" t="str">
        <v>Amal Asdvance </v>
      </c>
      <c r="C222"/>
      <c r="D222">
        <v>100</v>
      </c>
      <c r="E222"/>
      <c r="F222"/>
      <c r="G222"/>
      <c r="H222" s="0">
        <f>H221+C222-D222</f>
        <v>10544.58</v>
      </c>
    </row>
    <row r="223">
      <c r="A223"/>
      <c r="B223" t="str">
        <v>Fady Tanjeed (11*12$) +36$</v>
      </c>
      <c r="C223"/>
      <c r="D223">
        <v>168</v>
      </c>
      <c r="E223"/>
      <c r="F223"/>
      <c r="G223"/>
      <c r="H223">
        <f>H222+C223-D223</f>
        <v>10376.58</v>
      </c>
    </row>
    <row r="224">
      <c r="A224"/>
      <c r="B224" t="str">
        <v>Desposables </v>
      </c>
      <c r="C224"/>
      <c r="D224">
        <v>50</v>
      </c>
      <c r="E224"/>
      <c r="F224"/>
      <c r="G224"/>
      <c r="H224" s="0">
        <f>H223+C224-D224</f>
        <v>10326.58</v>
      </c>
    </row>
    <row r="225">
      <c r="A225"/>
      <c r="B225" t="str">
        <v>Cash Flow (Sanaa </v>
      </c>
      <c r="C225"/>
      <c r="D225"/>
      <c r="E225"/>
      <c r="F225">
        <v>600</v>
      </c>
      <c r="G225"/>
      <c r="H225" s="0">
        <f>H224+C225-D225</f>
        <v>10326.58</v>
      </c>
    </row>
    <row r="226">
      <c r="A226" t="str">
        <v>28-7-2026</v>
      </c>
      <c r="B226" t="str">
        <v>Dent De Lait </v>
      </c>
      <c r="C226">
        <f>'28-7-2026'!E5</f>
        <v>204</v>
      </c>
      <c r="D226"/>
      <c r="E226"/>
      <c r="F226"/>
      <c r="G226"/>
      <c r="H226">
        <f>H225+C226-D226</f>
        <v>10530.58</v>
      </c>
    </row>
    <row r="227">
      <c r="A227"/>
      <c r="B227" t="str">
        <v>Le Marchet Selectif </v>
      </c>
      <c r="C227"/>
      <c r="D227">
        <v>30</v>
      </c>
      <c r="E227"/>
      <c r="F227"/>
      <c r="G227"/>
      <c r="H227" s="0">
        <f>H226+C227-D227</f>
        <v>10500.58</v>
      </c>
    </row>
    <row r="228">
      <c r="A228"/>
      <c r="B228" t="str">
        <v>Thaer Orange </v>
      </c>
      <c r="C228"/>
      <c r="D228">
        <v>20</v>
      </c>
      <c r="E228"/>
      <c r="F228"/>
      <c r="G228"/>
      <c r="H228">
        <f>H227+C228-D228</f>
        <v>10480.58</v>
      </c>
    </row>
    <row r="229">
      <c r="A229"/>
      <c r="B229" t="str">
        <v>Cash Flow sanaa</v>
      </c>
      <c r="C229"/>
      <c r="D229"/>
      <c r="E229"/>
      <c r="F229">
        <v>200</v>
      </c>
      <c r="G229"/>
      <c r="H229">
        <f>H228+C229-D229</f>
        <v>10480.58</v>
      </c>
    </row>
    <row r="230">
      <c r="A230" t="str">
        <v>29-7-2026</v>
      </c>
      <c r="B230" t="str">
        <v>Birthday Carine Ghatas </v>
      </c>
      <c r="C230">
        <v>950</v>
      </c>
      <c r="D230"/>
      <c r="E230"/>
      <c r="F230"/>
      <c r="G230"/>
      <c r="H230" s="0">
        <f>H229+C230-D230</f>
        <v>11430.58</v>
      </c>
    </row>
    <row r="231">
      <c r="A231"/>
      <c r="B231" t="str">
        <v>Cash Flow sanaa </v>
      </c>
      <c r="C231"/>
      <c r="D231"/>
      <c r="E231"/>
      <c r="F231">
        <v>750</v>
      </c>
      <c r="G231"/>
      <c r="H231" s="0">
        <f>H230+C231-D231</f>
        <v>11430.58</v>
      </c>
    </row>
    <row r="232">
      <c r="A232"/>
      <c r="B232" t="str">
        <v>Fairco International </v>
      </c>
      <c r="C232"/>
      <c r="D232"/>
      <c r="E232">
        <v>83.36</v>
      </c>
      <c r="F232"/>
      <c r="G232"/>
      <c r="H232" s="0">
        <f>H231+C232-D232</f>
        <v>11430.58</v>
      </c>
    </row>
    <row r="233">
      <c r="A233"/>
      <c r="B233" t="str">
        <v>Storium </v>
      </c>
      <c r="C233"/>
      <c r="D233"/>
      <c r="E233">
        <v>144.66</v>
      </c>
      <c r="F233"/>
      <c r="G233"/>
      <c r="H233" s="0">
        <f>H232+C233-D233</f>
        <v>11430.58</v>
      </c>
    </row>
    <row r="234">
      <c r="A234"/>
      <c r="B234" t="str">
        <v>Spinneys </v>
      </c>
      <c r="C234"/>
      <c r="D234"/>
      <c r="E234">
        <v>69</v>
      </c>
      <c r="F234"/>
      <c r="G234"/>
      <c r="H234" s="0">
        <f>H233+C234-D234</f>
        <v>11430.58</v>
      </c>
    </row>
    <row r="235">
      <c r="A235"/>
      <c r="B235" t="str">
        <v>Boucherie Ziad </v>
      </c>
      <c r="C235"/>
      <c r="D235">
        <v>75</v>
      </c>
      <c r="E235"/>
      <c r="F235"/>
      <c r="G235"/>
      <c r="H235">
        <f>H234+C235-D235</f>
        <v>11355.58</v>
      </c>
    </row>
    <row r="236">
      <c r="A236"/>
      <c r="B236" t="str">
        <v>Nour Malek </v>
      </c>
      <c r="C236"/>
      <c r="D236">
        <v>25</v>
      </c>
      <c r="E236"/>
      <c r="F236"/>
      <c r="G236"/>
      <c r="H236" s="0">
        <f>H235+C236-D236</f>
        <v>11330.58</v>
      </c>
    </row>
    <row r="237">
      <c r="A237"/>
      <c r="B237" t="str">
        <v>Lucciana </v>
      </c>
      <c r="C237"/>
      <c r="D237">
        <v>21</v>
      </c>
      <c r="E237"/>
      <c r="F237"/>
      <c r="G237"/>
      <c r="H237">
        <f>H236+C237-D237</f>
        <v>11309.58</v>
      </c>
    </row>
    <row r="238">
      <c r="A238"/>
      <c r="B238" t="str">
        <v>Nour Haybe </v>
      </c>
      <c r="C238"/>
      <c r="D238">
        <v>26</v>
      </c>
      <c r="E238"/>
      <c r="F238"/>
      <c r="G238"/>
      <c r="H238" s="0">
        <f>H237+C238-D238</f>
        <v>11283.58</v>
      </c>
    </row>
    <row r="239">
      <c r="A239"/>
      <c r="B239" t="str">
        <v>Firas (Youssef)</v>
      </c>
      <c r="C239"/>
      <c r="D239">
        <v>20</v>
      </c>
      <c r="E239"/>
      <c r="F239"/>
      <c r="G239"/>
      <c r="H239">
        <f>H238+C239-D239</f>
        <v>11263.58</v>
      </c>
    </row>
    <row r="240">
      <c r="A240"/>
      <c r="B240" t="str">
        <v>Exchange Returned to Marleine </v>
      </c>
      <c r="C240"/>
      <c r="D240">
        <v>30</v>
      </c>
      <c r="E240"/>
      <c r="F240"/>
      <c r="G240"/>
      <c r="H240" s="0">
        <f>H239+C240-D240</f>
        <v>11233.58</v>
      </c>
    </row>
    <row r="241">
      <c r="A241" t="str">
        <v>30-7-2026</v>
      </c>
      <c r="B241" t="str">
        <v>Dent De Lait </v>
      </c>
      <c r="C241">
        <v>228</v>
      </c>
      <c r="D241"/>
      <c r="E241"/>
      <c r="F241"/>
      <c r="G241"/>
      <c r="H241">
        <f>H240+C241-D241</f>
        <v>11461.58</v>
      </c>
    </row>
    <row r="242">
      <c r="A242"/>
      <c r="B242" t="str">
        <v>Panino Bakery </v>
      </c>
      <c r="C242"/>
      <c r="D242">
        <v>6.74</v>
      </c>
      <c r="E242"/>
      <c r="F242"/>
      <c r="G242"/>
      <c r="H242" s="0">
        <f>H241+C242-D242</f>
        <v>11454.84</v>
      </c>
    </row>
    <row r="243">
      <c r="A243"/>
      <c r="B243" t="str">
        <v>Asab For Garden</v>
      </c>
      <c r="C243"/>
      <c r="D243">
        <v>15</v>
      </c>
      <c r="E243"/>
      <c r="F243"/>
      <c r="G243"/>
      <c r="H243">
        <f>H242+C243-D243</f>
        <v>11439.84</v>
      </c>
    </row>
    <row r="244">
      <c r="A244"/>
      <c r="B244" t="str">
        <v>Aalaf </v>
      </c>
      <c r="C244"/>
      <c r="D244">
        <v>76</v>
      </c>
      <c r="E244"/>
      <c r="F244"/>
      <c r="G244"/>
      <c r="H244" s="0">
        <f>H243+C244-D244</f>
        <v>11363.84</v>
      </c>
    </row>
    <row r="245">
      <c r="A245" t="str">
        <v>31-7-2026</v>
      </c>
      <c r="B245" t="str">
        <v>Les Petit Paradis </v>
      </c>
      <c r="C245">
        <v>336</v>
      </c>
      <c r="D245"/>
      <c r="E245"/>
      <c r="F245"/>
      <c r="G245"/>
      <c r="H245">
        <f>H244+C245-D245</f>
        <v>11699.84</v>
      </c>
    </row>
    <row r="246">
      <c r="A246"/>
      <c r="B246" t="str">
        <v>Nour Haybe </v>
      </c>
      <c r="C246"/>
      <c r="D246">
        <v>22</v>
      </c>
      <c r="E246"/>
      <c r="F246"/>
      <c r="G246"/>
      <c r="H246" s="0">
        <f>H245+C246-D246</f>
        <v>11677.84</v>
      </c>
    </row>
    <row r="247">
      <c r="A247"/>
      <c r="B247" t="str">
        <v>Cynthia Hello</v>
      </c>
      <c r="C247"/>
      <c r="D247">
        <v>20</v>
      </c>
      <c r="E247"/>
      <c r="F247"/>
      <c r="G247"/>
      <c r="H247">
        <f>H246+C247-D247</f>
        <v>11657.84</v>
      </c>
    </row>
    <row r="248">
      <c r="A248"/>
      <c r="B248" t="str">
        <v>Walk-in Cash</v>
      </c>
      <c r="C248">
        <v>166</v>
      </c>
      <c r="D248"/>
      <c r="E248"/>
      <c r="F248"/>
      <c r="G248"/>
      <c r="H248" s="0">
        <f>H247+C248-D248</f>
        <v>11823.84</v>
      </c>
    </row>
    <row r="249">
      <c r="A249"/>
      <c r="B249" t="str">
        <v>Yara haber D.P Birthday 28-7</v>
      </c>
      <c r="C249"/>
      <c r="D249"/>
      <c r="E249"/>
      <c r="F249"/>
      <c r="G249">
        <v>300</v>
      </c>
      <c r="H249" s="0">
        <f>H248+C249-D249</f>
        <v>11823.84</v>
      </c>
    </row>
    <row r="250">
      <c r="A250"/>
      <c r="B250" t="str">
        <v>Birthday </v>
      </c>
      <c r="C250">
        <v>185</v>
      </c>
      <c r="D250"/>
      <c r="E250"/>
      <c r="F250"/>
      <c r="G250"/>
      <c r="H250">
        <f>H249+C250-D250</f>
        <v>12008.84</v>
      </c>
    </row>
    <row r="251">
      <c r="A251"/>
      <c r="B251" t="str">
        <v>Le Marchet Selectif (Birthday 29-7 &amp; Birthday 31-7)</v>
      </c>
      <c r="C251"/>
      <c r="D251">
        <v>104</v>
      </c>
      <c r="E251"/>
      <c r="F251"/>
      <c r="G251"/>
      <c r="H251" s="0">
        <f>H250+C251-D251</f>
        <v>11904.84</v>
      </c>
    </row>
    <row r="252">
      <c r="A252"/>
      <c r="B252" t="str">
        <v>Nour Malek</v>
      </c>
      <c r="C252"/>
      <c r="D252">
        <v>24</v>
      </c>
      <c r="E252"/>
      <c r="F252"/>
      <c r="G252"/>
      <c r="H252">
        <f>H251+C252-D252</f>
        <v>11880.84</v>
      </c>
    </row>
    <row r="253">
      <c r="A253"/>
      <c r="B253" t="str">
        <v>Lucciana </v>
      </c>
      <c r="C253"/>
      <c r="D253">
        <v>20</v>
      </c>
      <c r="E253"/>
      <c r="F253"/>
      <c r="G253"/>
      <c r="H253" s="0">
        <f>H252+C253-D253</f>
        <v>11860.84</v>
      </c>
    </row>
    <row r="254">
      <c r="A254"/>
      <c r="B254" t="str">
        <v>Librarie Mallah </v>
      </c>
      <c r="C254"/>
      <c r="D254"/>
      <c r="E254">
        <v>95</v>
      </c>
      <c r="F254"/>
      <c r="G254"/>
      <c r="H254" s="0">
        <f>H253+C254-D254</f>
        <v>11860.84</v>
      </c>
    </row>
    <row r="255">
      <c r="A255"/>
      <c r="B255" t="str">
        <v>Spinneys </v>
      </c>
      <c r="C255"/>
      <c r="D255"/>
      <c r="E255">
        <v>35</v>
      </c>
      <c r="F255"/>
      <c r="G255"/>
      <c r="H255" s="0">
        <f>H254+C255-D255</f>
        <v>11860.84</v>
      </c>
    </row>
    <row r="256">
      <c r="A256"/>
      <c r="B256" t="str">
        <v>Spinneys </v>
      </c>
      <c r="C256"/>
      <c r="D256"/>
      <c r="E256">
        <v>64</v>
      </c>
      <c r="F256"/>
      <c r="G256"/>
      <c r="H256" s="0">
        <f>H255+C256-D256</f>
        <v>11860.84</v>
      </c>
    </row>
    <row r="257">
      <c r="A257"/>
      <c r="B257" t="str">
        <v>Cash Flow sanaa </v>
      </c>
      <c r="C257"/>
      <c r="D257"/>
      <c r="E257"/>
      <c r="F257">
        <v>600</v>
      </c>
      <c r="G257"/>
      <c r="H257" s="0">
        <f>H256+C257-D257</f>
        <v>11860.84</v>
      </c>
    </row>
    <row r="258">
      <c r="A258"/>
      <c r="B258"/>
      <c r="C258"/>
      <c r="D258">
        <v>0</v>
      </c>
      <c r="E258"/>
      <c r="F258"/>
      <c r="G258"/>
      <c r="H258">
        <f>H257+C258-D258</f>
        <v>11860.84</v>
      </c>
    </row>
    <row r="259">
      <c r="A259"/>
      <c r="B259"/>
      <c r="C259"/>
      <c r="D259"/>
      <c r="E259"/>
      <c r="F259"/>
      <c r="G259"/>
      <c r="H259">
        <f>H258+C259-D259</f>
        <v>11860.84</v>
      </c>
    </row>
    <row r="260">
      <c r="A260"/>
      <c r="B260"/>
      <c r="C260" s="0">
        <f>SUM(C2:C259)</f>
        <v>20231</v>
      </c>
      <c r="D260" s="0">
        <f>SUM(D2:D259)</f>
        <v>8370.16</v>
      </c>
      <c r="E260" s="0">
        <f>SUM(E2:E258)</f>
        <v>3724.6</v>
      </c>
      <c r="F260" s="0">
        <f>SUM(F2:F258)</f>
        <v>11424</v>
      </c>
      <c r="G260" s="0">
        <f>SUM(G2:G258)</f>
        <v>3980</v>
      </c>
      <c r="H260">
        <v>0</v>
      </c>
    </row>
    <row r="261">
      <c r="A261"/>
      <c r="B261"/>
      <c r="C261"/>
      <c r="D261"/>
      <c r="E261"/>
      <c r="F261"/>
      <c r="G261"/>
      <c r="H261"/>
    </row>
    <row r="262">
      <c r="A262"/>
      <c r="B262"/>
      <c r="C262"/>
      <c r="D262"/>
      <c r="E262"/>
      <c r="F262"/>
      <c r="G262"/>
      <c r="H262"/>
    </row>
    <row r="263">
      <c r="A263"/>
      <c r="B263"/>
      <c r="C263"/>
      <c r="D263"/>
      <c r="E263"/>
      <c r="F263"/>
      <c r="G263"/>
      <c r="H263"/>
    </row>
    <row r="264">
      <c r="A264"/>
      <c r="B264" t="str">
        <v>Difference Of Exchange </v>
      </c>
      <c r="C264">
        <v>0</v>
      </c>
      <c r="D264"/>
      <c r="E264"/>
      <c r="F264"/>
      <c r="G264"/>
      <c r="H264"/>
    </row>
    <row r="265">
      <c r="A265"/>
      <c r="B265" t="str">
        <v>Total Sum per Month $ =</v>
      </c>
      <c r="C265" s="0">
        <f>C260</f>
        <v>20231</v>
      </c>
      <c r="D265"/>
      <c r="E265"/>
      <c r="F265"/>
      <c r="G265"/>
      <c r="H265"/>
    </row>
    <row r="266">
      <c r="A266"/>
      <c r="B266" t="str">
        <v>Expenses $ =</v>
      </c>
      <c r="C266"/>
      <c r="D266" s="0">
        <f>D260</f>
        <v>8370.16</v>
      </c>
      <c r="E266"/>
      <c r="F266"/>
      <c r="G266"/>
      <c r="H266"/>
    </row>
    <row r="267">
      <c r="A267"/>
      <c r="B267" t="str">
        <v>Expenses $ = (Fridge)</v>
      </c>
      <c r="C267"/>
      <c r="D267" s="0">
        <v>1000</v>
      </c>
      <c r="E267"/>
      <c r="F267"/>
      <c r="G267"/>
      <c r="H267"/>
    </row>
    <row r="268">
      <c r="A268"/>
      <c r="B268" t="str">
        <v>Rent Little Hands (july, August, September)</v>
      </c>
      <c r="C268"/>
      <c r="D268">
        <v>6750</v>
      </c>
      <c r="E268"/>
      <c r="F268"/>
      <c r="G268"/>
      <c r="H268"/>
    </row>
    <row r="269">
      <c r="A269"/>
      <c r="B269" t="str">
        <v>Freezer </v>
      </c>
      <c r="C269"/>
      <c r="D269">
        <v>390</v>
      </c>
      <c r="E269"/>
      <c r="F269"/>
      <c r="G269"/>
      <c r="H269"/>
    </row>
    <row r="270">
      <c r="A270"/>
      <c r="B270" t="str">
        <v>Mazout Little Hands </v>
      </c>
      <c r="C270"/>
      <c r="D270">
        <v>500</v>
      </c>
      <c r="E270"/>
      <c r="F270"/>
      <c r="G270"/>
      <c r="H270"/>
    </row>
    <row r="271">
      <c r="A271"/>
      <c r="B271" t="str">
        <v>Saliba </v>
      </c>
      <c r="C271"/>
      <c r="D271">
        <v>500</v>
      </c>
      <c r="E271"/>
      <c r="F271"/>
      <c r="G271"/>
      <c r="H271"/>
    </row>
    <row r="272">
      <c r="A272"/>
      <c r="B272" t="str">
        <v>Disposables</v>
      </c>
      <c r="C272"/>
      <c r="D272">
        <v>120</v>
      </c>
      <c r="E272"/>
      <c r="F272"/>
      <c r="G272"/>
      <c r="H272"/>
    </row>
    <row r="273">
      <c r="A273"/>
      <c r="B273" t="str">
        <v>Emouchi Salary </v>
      </c>
      <c r="C273"/>
      <c r="D273">
        <v>350</v>
      </c>
      <c r="E273"/>
      <c r="F273"/>
      <c r="G273"/>
      <c r="H273"/>
    </row>
    <row r="274">
      <c r="A274"/>
      <c r="B274" t="str">
        <v>Tables </v>
      </c>
      <c r="C274"/>
      <c r="D274">
        <v>350</v>
      </c>
      <c r="E274"/>
      <c r="F274"/>
      <c r="G274"/>
      <c r="H274"/>
    </row>
    <row r="275">
      <c r="A275"/>
      <c r="B275" t="str">
        <v>Baladiye </v>
      </c>
      <c r="C275"/>
      <c r="D275">
        <v>100</v>
      </c>
      <c r="E275"/>
      <c r="F275"/>
      <c r="G275"/>
      <c r="H275"/>
    </row>
    <row r="276">
      <c r="A276"/>
      <c r="B276" t="str">
        <v>Umbrella</v>
      </c>
      <c r="C276"/>
      <c r="D276">
        <v>100</v>
      </c>
      <c r="E276"/>
      <c r="F276"/>
      <c r="G276"/>
      <c r="H276"/>
    </row>
    <row r="277">
      <c r="A277"/>
      <c r="B277" t="str">
        <v>Social Media ( Sara, Sanaa) July </v>
      </c>
      <c r="C277"/>
      <c r="D277">
        <v>100</v>
      </c>
      <c r="E277"/>
      <c r="F277"/>
      <c r="G277"/>
      <c r="H277"/>
    </row>
    <row r="278">
      <c r="A278"/>
      <c r="B278" t="str">
        <v>Loyer ( Wizaret So7a )</v>
      </c>
      <c r="C278"/>
      <c r="D278">
        <v>500</v>
      </c>
      <c r="E278"/>
      <c r="F278"/>
      <c r="G278"/>
      <c r="H278"/>
    </row>
    <row r="279">
      <c r="A279"/>
      <c r="B279" t="str">
        <v>Anti Fly Fan (Marwaha Lal Deben)</v>
      </c>
      <c r="C279"/>
      <c r="D279">
        <v>84</v>
      </c>
      <c r="E279"/>
      <c r="F279"/>
      <c r="G279"/>
      <c r="H279"/>
    </row>
    <row r="280">
      <c r="A280"/>
      <c r="B280" t="str">
        <v>Librarie Mallah</v>
      </c>
      <c r="C280"/>
      <c r="D280">
        <v>24</v>
      </c>
      <c r="E280"/>
      <c r="F280"/>
      <c r="G280"/>
      <c r="H280"/>
    </row>
    <row r="281">
      <c r="A281"/>
      <c r="B281" t="str">
        <v>Tanjid By Fadi Coussins Chaise fabric </v>
      </c>
      <c r="C281"/>
      <c r="D281">
        <v>131</v>
      </c>
      <c r="E281"/>
      <c r="F281"/>
      <c r="G281"/>
      <c r="H281"/>
    </row>
    <row r="282">
      <c r="A282"/>
      <c r="B282" t="str">
        <v>Transport ( Tips &amp; Delivery )</v>
      </c>
      <c r="C282"/>
      <c r="D282">
        <v>40</v>
      </c>
      <c r="E282"/>
      <c r="F282"/>
      <c r="G282"/>
      <c r="H282"/>
    </row>
    <row r="283">
      <c r="A283"/>
      <c r="B283"/>
      <c r="C283"/>
      <c r="D283" t="str">
        <v>Cash </v>
      </c>
      <c r="E283"/>
      <c r="F283"/>
      <c r="G283"/>
      <c r="H283"/>
    </row>
    <row r="284">
      <c r="A284"/>
      <c r="B284" t="str">
        <v>Remainig Cash Flow From June (Sanaa)</v>
      </c>
      <c r="C284"/>
      <c r="D284">
        <f>F260-D267-D268-D269-D270-D271-D272-D274-D275-D276-D278-D273-D277-D282-D279-D280-D281</f>
        <v>385</v>
      </c>
      <c r="E284"/>
      <c r="F284"/>
      <c r="G284"/>
      <c r="H284"/>
    </row>
    <row r="285">
      <c r="A285"/>
      <c r="B285" t="str">
        <v>Remainig Cash From (Youssef &amp; Firas)</v>
      </c>
      <c r="C285"/>
      <c r="D285">
        <v>3200</v>
      </c>
      <c r="E285"/>
      <c r="F285"/>
      <c r="G285"/>
      <c r="H285"/>
    </row>
    <row r="286">
      <c r="A286"/>
      <c r="B286" t="str">
        <v>Total Cash Remainig </v>
      </c>
      <c r="C286"/>
      <c r="D286" s="0">
        <f>SUM(D284:D285)</f>
        <v>3585</v>
      </c>
      <c r="E286"/>
      <c r="F286"/>
      <c r="G286"/>
      <c r="H286"/>
    </row>
    <row r="287">
      <c r="A287"/>
      <c r="B287"/>
      <c r="C287"/>
      <c r="D287"/>
      <c r="E287"/>
      <c r="F287"/>
      <c r="G287"/>
      <c r="H287"/>
    </row>
    <row r="288">
      <c r="A288"/>
      <c r="B288" t="str">
        <v>Remainig D.P From birthday (Sanaa)</v>
      </c>
      <c r="C288"/>
      <c r="D288">
        <v>550</v>
      </c>
      <c r="E288"/>
      <c r="F288"/>
      <c r="G288"/>
      <c r="H288"/>
    </row>
    <row r="289">
      <c r="A289"/>
      <c r="B289"/>
      <c r="C289"/>
      <c r="D289"/>
      <c r="E289"/>
      <c r="F289"/>
      <c r="G289"/>
      <c r="H289"/>
    </row>
    <row r="290">
      <c r="A290"/>
      <c r="B290" t="str">
        <v>Net in Cash</v>
      </c>
      <c r="C290" s="0">
        <f>C265-F260-D260</f>
        <v>436.84</v>
      </c>
      <c r="D290"/>
      <c r="E290"/>
      <c r="F290"/>
      <c r="G290"/>
      <c r="H290"/>
    </row>
  </sheetData>
  <mergeCells count="23">
    <mergeCell ref="A2:A3"/>
    <mergeCell ref="A4:A12"/>
    <mergeCell ref="A13:A26"/>
    <mergeCell ref="A27:A45"/>
    <mergeCell ref="A46:A58"/>
    <mergeCell ref="A59:A71"/>
    <mergeCell ref="A72:A78"/>
    <mergeCell ref="A79:A92"/>
    <mergeCell ref="A93:A104"/>
    <mergeCell ref="A106:A114"/>
    <mergeCell ref="A115:A122"/>
    <mergeCell ref="A123:A138"/>
    <mergeCell ref="A139:A158"/>
    <mergeCell ref="A159:A164"/>
    <mergeCell ref="A165:A177"/>
    <mergeCell ref="A178:A189"/>
    <mergeCell ref="A190:A200"/>
    <mergeCell ref="A201:A211"/>
    <mergeCell ref="A212:A225"/>
    <mergeCell ref="A226:A229"/>
    <mergeCell ref="A230:A240"/>
    <mergeCell ref="A241:A244"/>
    <mergeCell ref="A245:A257"/>
  </mergeCells>
  <pageMargins left="0.7" right="0.7" top="0.75" bottom="0.75" header="0.3" footer="0.3"/>
</worksheet>
</file>